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rya Narayan\Downloads\"/>
    </mc:Choice>
  </mc:AlternateContent>
  <xr:revisionPtr revIDLastSave="0" documentId="13_ncr:1_{5454DFDB-D856-406E-9677-2FB96CA36C55}" xr6:coauthVersionLast="47" xr6:coauthVersionMax="47" xr10:uidLastSave="{00000000-0000-0000-0000-000000000000}"/>
  <bookViews>
    <workbookView xWindow="-108" yWindow="-108" windowWidth="23256" windowHeight="12456" firstSheet="8" activeTab="9" xr2:uid="{00000000-000D-0000-FFFF-FFFF00000000}"/>
  </bookViews>
  <sheets>
    <sheet name="14.12.24 FN" sheetId="37" state="hidden" r:id="rId1"/>
    <sheet name="14.12.24 AN" sheetId="40" state="hidden" r:id="rId2"/>
    <sheet name="16.12.24 FN " sheetId="41" state="hidden" r:id="rId3"/>
    <sheet name="16.12.24 AN  " sheetId="42" state="hidden" r:id="rId4"/>
    <sheet name="18.12.24 FN" sheetId="45" state="hidden" r:id="rId5"/>
    <sheet name="18.12.24 AN" sheetId="46" state="hidden" r:id="rId6"/>
    <sheet name="23.12.2024 FN" sheetId="55" state="hidden" r:id="rId7"/>
    <sheet name="Template " sheetId="58" state="hidden" r:id="rId8"/>
    <sheet name="SLOT I" sheetId="62" r:id="rId9"/>
    <sheet name="SLOT II" sheetId="73" r:id="rId10"/>
    <sheet name="Template  (2)" sheetId="59" state="hidden" r:id="rId11"/>
    <sheet name="Template  (3)" sheetId="60" state="hidden" r:id="rId12"/>
    <sheet name="Template  (4)" sheetId="61" state="hidden" r:id="rId13"/>
  </sheets>
  <definedNames>
    <definedName name="_xlnm._FilterDatabase" localSheetId="1" hidden="1">'14.12.24 AN'!$A$7:$Y$86</definedName>
    <definedName name="_xlnm._FilterDatabase" localSheetId="0" hidden="1">'14.12.24 FN'!$A$7:$Y$69</definedName>
    <definedName name="_xlnm._FilterDatabase" localSheetId="3" hidden="1">'16.12.24 AN  '!$A$7:$Y$126</definedName>
    <definedName name="_xlnm._FilterDatabase" localSheetId="2" hidden="1">'16.12.24 FN '!$A$7:$Y$132</definedName>
    <definedName name="_xlnm._FilterDatabase" localSheetId="5" hidden="1">'18.12.24 AN'!$A$7:$Y$121</definedName>
    <definedName name="_xlnm._FilterDatabase" localSheetId="4" hidden="1">'18.12.24 FN'!$A$7:$Y$126</definedName>
    <definedName name="_xlnm._FilterDatabase" localSheetId="6" hidden="1">'23.12.2024 FN'!$A$7:$Y$188</definedName>
    <definedName name="_xlnm._FilterDatabase" localSheetId="8" hidden="1">'SLOT I'!$B$6:$I$130</definedName>
    <definedName name="_xlnm._FilterDatabase" localSheetId="9" hidden="1">'SLOT II'!$B$6:$I$118</definedName>
    <definedName name="_xlnm._FilterDatabase" localSheetId="7" hidden="1">'Template '!$A$7:$Y$134</definedName>
    <definedName name="_xlnm._FilterDatabase" localSheetId="10" hidden="1">'Template  (2)'!$A$7:$Y$134</definedName>
    <definedName name="_xlnm._FilterDatabase" localSheetId="11" hidden="1">'Template  (3)'!$A$7:$Y$134</definedName>
    <definedName name="_xlnm._FilterDatabase" localSheetId="12" hidden="1">'Template  (4)'!$A$7:$Y$134</definedName>
    <definedName name="_xlnm.Print_Titles" localSheetId="8">'SLOT I'!$6:$6</definedName>
    <definedName name="_xlnm.Print_Titles" localSheetId="9">'SLOT II'!$6:$6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8" i="62" l="1"/>
  <c r="H77" i="62"/>
  <c r="H52" i="62"/>
  <c r="H126" i="62" l="1"/>
  <c r="H125" i="62"/>
  <c r="H124" i="62"/>
  <c r="H123" i="62"/>
  <c r="H122" i="62"/>
  <c r="H121" i="62"/>
  <c r="H120" i="62"/>
  <c r="H119" i="62"/>
  <c r="H118" i="62"/>
  <c r="H117" i="62"/>
  <c r="H116" i="62"/>
  <c r="H113" i="73"/>
  <c r="H109" i="73"/>
  <c r="H107" i="73"/>
  <c r="H103" i="73"/>
  <c r="H100" i="73"/>
  <c r="H98" i="73"/>
  <c r="H96" i="73"/>
  <c r="H94" i="73"/>
  <c r="H92" i="73"/>
  <c r="H90" i="73"/>
  <c r="H88" i="73"/>
  <c r="H80" i="73"/>
  <c r="H78" i="73"/>
  <c r="H75" i="73"/>
  <c r="H71" i="73"/>
  <c r="H68" i="73"/>
  <c r="H66" i="73"/>
  <c r="H64" i="73"/>
  <c r="H62" i="73"/>
  <c r="H60" i="73"/>
  <c r="H58" i="73"/>
  <c r="H56" i="73"/>
  <c r="H54" i="73"/>
  <c r="H52" i="73"/>
  <c r="H50" i="73"/>
  <c r="H48" i="73"/>
  <c r="H46" i="73"/>
  <c r="H44" i="73"/>
  <c r="H42" i="73"/>
  <c r="H39" i="73"/>
  <c r="H37" i="73"/>
  <c r="H35" i="73"/>
  <c r="H31" i="73"/>
  <c r="H28" i="73"/>
  <c r="H26" i="73"/>
  <c r="H23" i="73"/>
  <c r="H21" i="73"/>
  <c r="H19" i="73"/>
  <c r="H17" i="73"/>
  <c r="H15" i="73"/>
  <c r="H13" i="73"/>
  <c r="H11" i="73"/>
  <c r="H9" i="73"/>
  <c r="H7" i="73"/>
  <c r="H114" i="62"/>
  <c r="H113" i="62"/>
  <c r="H112" i="62"/>
  <c r="H111" i="62"/>
  <c r="H110" i="62"/>
  <c r="H109" i="62"/>
  <c r="H108" i="62"/>
  <c r="H107" i="62"/>
  <c r="H106" i="62"/>
  <c r="H105" i="62"/>
  <c r="H104" i="62"/>
  <c r="H103" i="62"/>
  <c r="H102" i="62"/>
  <c r="H99" i="62"/>
  <c r="H98" i="62"/>
  <c r="H97" i="62"/>
  <c r="H96" i="62"/>
  <c r="H95" i="62"/>
  <c r="H91" i="62"/>
  <c r="H88" i="62"/>
  <c r="H85" i="62"/>
  <c r="H84" i="62"/>
  <c r="H81" i="62"/>
  <c r="H80" i="62"/>
  <c r="H118" i="73" l="1"/>
  <c r="H115" i="62"/>
  <c r="H74" i="62"/>
  <c r="H73" i="62"/>
  <c r="H71" i="62" l="1"/>
  <c r="H70" i="62"/>
  <c r="H66" i="62"/>
  <c r="H65" i="62"/>
  <c r="H60" i="62"/>
  <c r="H57" i="62"/>
  <c r="H50" i="62"/>
  <c r="H48" i="62"/>
  <c r="H46" i="62"/>
  <c r="H44" i="62"/>
  <c r="H42" i="62"/>
  <c r="H39" i="62"/>
  <c r="H34" i="62"/>
  <c r="H29" i="62"/>
  <c r="H27" i="62"/>
  <c r="H24" i="62"/>
  <c r="H18" i="62"/>
  <c r="H16" i="62"/>
  <c r="H14" i="62"/>
  <c r="H9" i="62"/>
  <c r="H7" i="62"/>
  <c r="H130" i="62" l="1"/>
  <c r="N171" i="55"/>
  <c r="N176" i="55"/>
  <c r="K4" i="55"/>
  <c r="G166" i="55"/>
  <c r="G186" i="55"/>
  <c r="G182" i="55"/>
  <c r="G180" i="55"/>
  <c r="G173" i="55"/>
  <c r="G169" i="55"/>
  <c r="G164" i="55"/>
  <c r="G132" i="61" l="1"/>
  <c r="G130" i="61"/>
  <c r="G128" i="61"/>
  <c r="G126" i="61"/>
  <c r="G124" i="61"/>
  <c r="G122" i="61"/>
  <c r="G120" i="61"/>
  <c r="G118" i="61"/>
  <c r="G116" i="61"/>
  <c r="G114" i="61"/>
  <c r="G112" i="61"/>
  <c r="G110" i="61"/>
  <c r="G108" i="61"/>
  <c r="G106" i="61"/>
  <c r="G104" i="61"/>
  <c r="G102" i="61"/>
  <c r="G100" i="61"/>
  <c r="G98" i="61"/>
  <c r="G96" i="61"/>
  <c r="G94" i="61"/>
  <c r="G92" i="61"/>
  <c r="G90" i="61"/>
  <c r="G88" i="61"/>
  <c r="G86" i="61"/>
  <c r="G84" i="61"/>
  <c r="G82" i="61"/>
  <c r="G80" i="61"/>
  <c r="G78" i="61"/>
  <c r="G76" i="61"/>
  <c r="G74" i="61"/>
  <c r="G72" i="61"/>
  <c r="G70" i="61"/>
  <c r="G68" i="61"/>
  <c r="G66" i="61"/>
  <c r="G64" i="61"/>
  <c r="G62" i="61"/>
  <c r="G60" i="61"/>
  <c r="G58" i="61"/>
  <c r="G56" i="61"/>
  <c r="G54" i="61"/>
  <c r="G52" i="61"/>
  <c r="G50" i="61"/>
  <c r="G48" i="61"/>
  <c r="G46" i="61"/>
  <c r="G44" i="61"/>
  <c r="G42" i="61"/>
  <c r="G40" i="61"/>
  <c r="G38" i="61"/>
  <c r="G36" i="61"/>
  <c r="G34" i="61"/>
  <c r="G32" i="61"/>
  <c r="G30" i="61"/>
  <c r="G28" i="61"/>
  <c r="G26" i="61"/>
  <c r="G24" i="61"/>
  <c r="G22" i="61"/>
  <c r="G20" i="61"/>
  <c r="G18" i="61"/>
  <c r="G16" i="61"/>
  <c r="G14" i="61"/>
  <c r="G12" i="61"/>
  <c r="G10" i="61"/>
  <c r="G8" i="61"/>
  <c r="K4" i="61"/>
  <c r="J4" i="61"/>
  <c r="G132" i="60"/>
  <c r="G130" i="60"/>
  <c r="G128" i="60"/>
  <c r="G126" i="60"/>
  <c r="G124" i="60"/>
  <c r="G122" i="60"/>
  <c r="G120" i="60"/>
  <c r="G118" i="60"/>
  <c r="G116" i="60"/>
  <c r="G114" i="60"/>
  <c r="G112" i="60"/>
  <c r="G110" i="60"/>
  <c r="G108" i="60"/>
  <c r="G106" i="60"/>
  <c r="G104" i="60"/>
  <c r="G102" i="60"/>
  <c r="G100" i="60"/>
  <c r="G98" i="60"/>
  <c r="G96" i="60"/>
  <c r="G94" i="60"/>
  <c r="G92" i="60"/>
  <c r="G90" i="60"/>
  <c r="G88" i="60"/>
  <c r="G86" i="60"/>
  <c r="G84" i="60"/>
  <c r="G82" i="60"/>
  <c r="G80" i="60"/>
  <c r="G78" i="60"/>
  <c r="G76" i="60"/>
  <c r="G74" i="60"/>
  <c r="G72" i="60"/>
  <c r="G70" i="60"/>
  <c r="G68" i="60"/>
  <c r="G66" i="60"/>
  <c r="G64" i="60"/>
  <c r="G62" i="60"/>
  <c r="G60" i="60"/>
  <c r="G58" i="60"/>
  <c r="G56" i="60"/>
  <c r="G54" i="60"/>
  <c r="G52" i="60"/>
  <c r="G50" i="60"/>
  <c r="G48" i="60"/>
  <c r="G46" i="60"/>
  <c r="G44" i="60"/>
  <c r="G42" i="60"/>
  <c r="G40" i="60"/>
  <c r="G38" i="60"/>
  <c r="G36" i="60"/>
  <c r="G34" i="60"/>
  <c r="G32" i="60"/>
  <c r="G30" i="60"/>
  <c r="G28" i="60"/>
  <c r="G26" i="60"/>
  <c r="G24" i="60"/>
  <c r="G22" i="60"/>
  <c r="G20" i="60"/>
  <c r="G18" i="60"/>
  <c r="G16" i="60"/>
  <c r="G14" i="60"/>
  <c r="G12" i="60"/>
  <c r="G10" i="60"/>
  <c r="G8" i="60"/>
  <c r="K4" i="60"/>
  <c r="J4" i="60"/>
  <c r="G132" i="59"/>
  <c r="G130" i="59"/>
  <c r="G128" i="59"/>
  <c r="G126" i="59"/>
  <c r="G124" i="59"/>
  <c r="G122" i="59"/>
  <c r="G120" i="59"/>
  <c r="G118" i="59"/>
  <c r="G116" i="59"/>
  <c r="G114" i="59"/>
  <c r="G112" i="59"/>
  <c r="G110" i="59"/>
  <c r="G108" i="59"/>
  <c r="G106" i="59"/>
  <c r="G104" i="59"/>
  <c r="G102" i="59"/>
  <c r="G100" i="59"/>
  <c r="G98" i="59"/>
  <c r="G96" i="59"/>
  <c r="G94" i="59"/>
  <c r="G92" i="59"/>
  <c r="G90" i="59"/>
  <c r="G88" i="59"/>
  <c r="G86" i="59"/>
  <c r="G84" i="59"/>
  <c r="G82" i="59"/>
  <c r="G80" i="59"/>
  <c r="G78" i="59"/>
  <c r="G76" i="59"/>
  <c r="G74" i="59"/>
  <c r="G72" i="59"/>
  <c r="G70" i="59"/>
  <c r="G68" i="59"/>
  <c r="G66" i="59"/>
  <c r="G64" i="59"/>
  <c r="G62" i="59"/>
  <c r="G60" i="59"/>
  <c r="G58" i="59"/>
  <c r="G56" i="59"/>
  <c r="G54" i="59"/>
  <c r="G52" i="59"/>
  <c r="G50" i="59"/>
  <c r="G48" i="59"/>
  <c r="G46" i="59"/>
  <c r="G44" i="59"/>
  <c r="G42" i="59"/>
  <c r="G40" i="59"/>
  <c r="G38" i="59"/>
  <c r="G36" i="59"/>
  <c r="G34" i="59"/>
  <c r="G32" i="59"/>
  <c r="G30" i="59"/>
  <c r="G28" i="59"/>
  <c r="G26" i="59"/>
  <c r="G24" i="59"/>
  <c r="G22" i="59"/>
  <c r="G20" i="59"/>
  <c r="G18" i="59"/>
  <c r="G16" i="59"/>
  <c r="G14" i="59"/>
  <c r="G12" i="59"/>
  <c r="G10" i="59"/>
  <c r="G8" i="59"/>
  <c r="K4" i="59"/>
  <c r="J4" i="59"/>
  <c r="G132" i="58"/>
  <c r="G130" i="58"/>
  <c r="G128" i="58"/>
  <c r="G126" i="58"/>
  <c r="G124" i="58"/>
  <c r="G122" i="58"/>
  <c r="G120" i="58"/>
  <c r="G118" i="58"/>
  <c r="G116" i="58"/>
  <c r="G114" i="58"/>
  <c r="G112" i="58"/>
  <c r="G110" i="58"/>
  <c r="G108" i="58"/>
  <c r="G106" i="58"/>
  <c r="G104" i="58"/>
  <c r="G102" i="58"/>
  <c r="G100" i="58"/>
  <c r="G98" i="58"/>
  <c r="G96" i="58"/>
  <c r="G94" i="58"/>
  <c r="G92" i="58"/>
  <c r="G90" i="58"/>
  <c r="G88" i="58"/>
  <c r="G86" i="58"/>
  <c r="G84" i="58"/>
  <c r="G82" i="58"/>
  <c r="G80" i="58"/>
  <c r="G78" i="58"/>
  <c r="G76" i="58"/>
  <c r="G74" i="58"/>
  <c r="G72" i="58"/>
  <c r="G70" i="58"/>
  <c r="G68" i="58"/>
  <c r="G66" i="58"/>
  <c r="G64" i="58"/>
  <c r="G62" i="58"/>
  <c r="G60" i="58"/>
  <c r="G58" i="58"/>
  <c r="G56" i="58"/>
  <c r="G54" i="58"/>
  <c r="G52" i="58"/>
  <c r="G50" i="58"/>
  <c r="G48" i="58"/>
  <c r="G46" i="58"/>
  <c r="G44" i="58"/>
  <c r="G42" i="58"/>
  <c r="G40" i="58"/>
  <c r="G38" i="58"/>
  <c r="G36" i="58"/>
  <c r="G34" i="58"/>
  <c r="G32" i="58"/>
  <c r="G30" i="58"/>
  <c r="G28" i="58"/>
  <c r="G26" i="58"/>
  <c r="G24" i="58"/>
  <c r="G22" i="58"/>
  <c r="G20" i="58"/>
  <c r="G18" i="58"/>
  <c r="G16" i="58"/>
  <c r="G14" i="58"/>
  <c r="G12" i="58"/>
  <c r="G10" i="58"/>
  <c r="G8" i="58"/>
  <c r="K4" i="58"/>
  <c r="J4" i="58"/>
  <c r="G151" i="55"/>
  <c r="G155" i="55"/>
  <c r="G157" i="55"/>
  <c r="G159" i="55"/>
  <c r="G161" i="55"/>
  <c r="G148" i="55"/>
  <c r="G146" i="55"/>
  <c r="G144" i="55"/>
  <c r="G140" i="55"/>
  <c r="G137" i="55"/>
  <c r="G134" i="55"/>
  <c r="G132" i="55"/>
  <c r="G130" i="55"/>
  <c r="G128" i="55"/>
  <c r="G126" i="55"/>
  <c r="G121" i="55"/>
  <c r="G119" i="55"/>
  <c r="G117" i="55"/>
  <c r="G114" i="55" l="1"/>
  <c r="G112" i="55"/>
  <c r="G110" i="55"/>
  <c r="G108" i="55"/>
  <c r="G106" i="55"/>
  <c r="G101" i="55"/>
  <c r="G99" i="55"/>
  <c r="G97" i="55"/>
  <c r="G94" i="55"/>
  <c r="G91" i="55"/>
  <c r="G89" i="55"/>
  <c r="G87" i="55"/>
  <c r="G85" i="55"/>
  <c r="G83" i="55"/>
  <c r="G80" i="55"/>
  <c r="G77" i="55"/>
  <c r="G75" i="55"/>
  <c r="G72" i="55"/>
  <c r="G70" i="55"/>
  <c r="G68" i="55"/>
  <c r="G66" i="55"/>
  <c r="G64" i="55"/>
  <c r="G62" i="55"/>
  <c r="G60" i="55"/>
  <c r="G57" i="55"/>
  <c r="G54" i="55"/>
  <c r="G52" i="55"/>
  <c r="G49" i="55"/>
  <c r="G47" i="55"/>
  <c r="G44" i="55"/>
  <c r="G41" i="55"/>
  <c r="G38" i="55"/>
  <c r="G36" i="55"/>
  <c r="G34" i="55"/>
  <c r="G31" i="55"/>
  <c r="G29" i="55"/>
  <c r="G26" i="55"/>
  <c r="G24" i="55"/>
  <c r="G22" i="55"/>
  <c r="G20" i="55"/>
  <c r="G17" i="55"/>
  <c r="G15" i="55"/>
  <c r="G13" i="55"/>
  <c r="G10" i="55"/>
  <c r="G8" i="55"/>
  <c r="J4" i="55"/>
  <c r="G128" i="41" l="1"/>
  <c r="G110" i="41"/>
  <c r="G71" i="41"/>
  <c r="G99" i="46" l="1"/>
  <c r="O33" i="46"/>
  <c r="G118" i="45" l="1"/>
  <c r="J4" i="45"/>
  <c r="K4" i="46"/>
  <c r="J4" i="46"/>
  <c r="K4" i="45"/>
  <c r="L5" i="42"/>
  <c r="K5" i="42"/>
  <c r="G119" i="46"/>
  <c r="G116" i="46"/>
  <c r="G107" i="46"/>
  <c r="G104" i="46"/>
  <c r="G101" i="46"/>
  <c r="G96" i="46"/>
  <c r="G93" i="46"/>
  <c r="G90" i="46"/>
  <c r="G88" i="46"/>
  <c r="G85" i="46"/>
  <c r="G83" i="46"/>
  <c r="G80" i="46"/>
  <c r="G77" i="46"/>
  <c r="G75" i="46"/>
  <c r="G73" i="46"/>
  <c r="G71" i="46"/>
  <c r="G69" i="46"/>
  <c r="G66" i="46"/>
  <c r="G64" i="46"/>
  <c r="G62" i="46"/>
  <c r="G59" i="46"/>
  <c r="G57" i="46"/>
  <c r="G55" i="46"/>
  <c r="G53" i="46"/>
  <c r="G51" i="46"/>
  <c r="G49" i="46"/>
  <c r="G47" i="46"/>
  <c r="G43" i="46"/>
  <c r="G41" i="46"/>
  <c r="G38" i="46"/>
  <c r="G36" i="46"/>
  <c r="G33" i="46"/>
  <c r="G31" i="46"/>
  <c r="G28" i="46"/>
  <c r="G26" i="46"/>
  <c r="G23" i="46"/>
  <c r="G21" i="46"/>
  <c r="G19" i="46"/>
  <c r="G17" i="46"/>
  <c r="G15" i="46"/>
  <c r="G12" i="46"/>
  <c r="G10" i="46"/>
  <c r="G8" i="46"/>
  <c r="G120" i="45"/>
  <c r="G116" i="45"/>
  <c r="G113" i="45"/>
  <c r="G111" i="45"/>
  <c r="G108" i="45"/>
  <c r="G106" i="45"/>
  <c r="G103" i="45"/>
  <c r="G101" i="45"/>
  <c r="G99" i="45"/>
  <c r="G96" i="45"/>
  <c r="G93" i="45"/>
  <c r="G91" i="45"/>
  <c r="G89" i="45"/>
  <c r="G87" i="45"/>
  <c r="G83" i="45"/>
  <c r="G81" i="45"/>
  <c r="G79" i="45"/>
  <c r="G77" i="45"/>
  <c r="G75" i="45"/>
  <c r="G72" i="45"/>
  <c r="G70" i="45"/>
  <c r="G68" i="45"/>
  <c r="G65" i="45"/>
  <c r="G63" i="45"/>
  <c r="G61" i="45"/>
  <c r="G59" i="45"/>
  <c r="G57" i="45"/>
  <c r="G53" i="45"/>
  <c r="G51" i="45"/>
  <c r="G49" i="45"/>
  <c r="G47" i="45"/>
  <c r="G45" i="45"/>
  <c r="G42" i="45"/>
  <c r="G40" i="45"/>
  <c r="G38" i="45"/>
  <c r="G36" i="45"/>
  <c r="G34" i="45"/>
  <c r="G32" i="45"/>
  <c r="G30" i="45"/>
  <c r="G28" i="45"/>
  <c r="G25" i="45"/>
  <c r="G23" i="45"/>
  <c r="G20" i="45"/>
  <c r="G18" i="45"/>
  <c r="G16" i="45"/>
  <c r="G13" i="45"/>
  <c r="G11" i="45"/>
  <c r="G8" i="45"/>
  <c r="M5" i="41"/>
  <c r="L104" i="41"/>
  <c r="G12" i="41"/>
  <c r="L5" i="41"/>
  <c r="G29" i="41"/>
  <c r="G32" i="41"/>
  <c r="G93" i="42"/>
  <c r="G95" i="42"/>
  <c r="G97" i="42"/>
  <c r="G101" i="42"/>
  <c r="G103" i="42"/>
  <c r="G108" i="42"/>
  <c r="G110" i="42"/>
  <c r="G113" i="42"/>
  <c r="G120" i="42"/>
  <c r="G90" i="42"/>
  <c r="G88" i="42"/>
  <c r="G86" i="42"/>
  <c r="G83" i="42"/>
  <c r="G81" i="42"/>
  <c r="G79" i="42"/>
  <c r="G77" i="42"/>
  <c r="G73" i="42"/>
  <c r="G71" i="42"/>
  <c r="G69" i="42"/>
  <c r="G66" i="42"/>
  <c r="G64" i="42"/>
  <c r="G62" i="42"/>
  <c r="G59" i="42"/>
  <c r="G57" i="42"/>
  <c r="G55" i="42"/>
  <c r="G53" i="42"/>
  <c r="G51" i="42"/>
  <c r="G49" i="42"/>
  <c r="G47" i="42"/>
  <c r="G42" i="42"/>
  <c r="G39" i="42"/>
  <c r="G36" i="42"/>
  <c r="G34" i="42"/>
  <c r="G31" i="42"/>
  <c r="G29" i="42"/>
  <c r="G27" i="42"/>
  <c r="G25" i="42"/>
  <c r="G23" i="42"/>
  <c r="G21" i="42"/>
  <c r="G19" i="42"/>
  <c r="G16" i="42"/>
  <c r="G14" i="42"/>
  <c r="G12" i="42"/>
  <c r="G10" i="42"/>
  <c r="G8" i="42"/>
  <c r="G37" i="41"/>
  <c r="G40" i="41"/>
  <c r="G42" i="41"/>
  <c r="G49" i="41"/>
  <c r="G51" i="41"/>
  <c r="G53" i="41"/>
  <c r="G55" i="41"/>
  <c r="G57" i="41"/>
  <c r="G59" i="41"/>
  <c r="G61" i="41"/>
  <c r="G64" i="41"/>
  <c r="G66" i="41"/>
  <c r="G69" i="41"/>
  <c r="G75" i="41"/>
  <c r="G77" i="41"/>
  <c r="G79" i="41"/>
  <c r="G81" i="41"/>
  <c r="G83" i="41"/>
  <c r="G85" i="41"/>
  <c r="G87" i="41"/>
  <c r="G89" i="41"/>
  <c r="G91" i="41"/>
  <c r="G93" i="41"/>
  <c r="G96" i="41"/>
  <c r="G99" i="41"/>
  <c r="G101" i="41"/>
  <c r="G104" i="41"/>
  <c r="G106" i="41"/>
  <c r="G108" i="41"/>
  <c r="G116" i="41"/>
  <c r="G123" i="41"/>
  <c r="G126" i="41"/>
  <c r="G35" i="41"/>
  <c r="G25" i="41"/>
  <c r="G27" i="41"/>
  <c r="G23" i="41"/>
  <c r="G21" i="41"/>
  <c r="G19" i="41"/>
  <c r="G17" i="41"/>
  <c r="G15" i="41"/>
  <c r="G10" i="41"/>
  <c r="G8" i="41"/>
  <c r="G72" i="40"/>
  <c r="G69" i="40"/>
  <c r="G63" i="40"/>
  <c r="G62" i="40"/>
  <c r="G60" i="40"/>
  <c r="G57" i="40"/>
  <c r="G54" i="40"/>
  <c r="G47" i="40"/>
  <c r="G73" i="40"/>
  <c r="G76" i="40"/>
  <c r="G77" i="40"/>
  <c r="G81" i="40"/>
  <c r="G83" i="40"/>
  <c r="G35" i="40"/>
  <c r="G32" i="40"/>
  <c r="G30" i="40"/>
  <c r="G28" i="40"/>
  <c r="G26" i="40"/>
  <c r="G14" i="40"/>
  <c r="G12" i="40"/>
  <c r="G10" i="40"/>
  <c r="G22" i="40"/>
  <c r="G19" i="40"/>
  <c r="G16" i="40"/>
  <c r="G40" i="40"/>
  <c r="G37" i="40"/>
  <c r="G24" i="40"/>
  <c r="G44" i="40"/>
  <c r="G42" i="40"/>
  <c r="G8" i="40"/>
  <c r="G49" i="37"/>
  <c r="G47" i="37"/>
  <c r="G45" i="37"/>
  <c r="G42" i="37"/>
  <c r="G38" i="37"/>
  <c r="G35" i="37"/>
  <c r="G32" i="37"/>
  <c r="G28" i="37"/>
  <c r="G25" i="37"/>
  <c r="G23" i="37"/>
  <c r="G21" i="37"/>
  <c r="G19" i="37"/>
  <c r="G16" i="37"/>
  <c r="G14" i="37"/>
  <c r="G12" i="37"/>
  <c r="G10" i="37"/>
  <c r="G65" i="37"/>
  <c r="G61" i="37"/>
  <c r="G58" i="37"/>
  <c r="G55" i="37"/>
  <c r="G126" i="45" l="1"/>
  <c r="G121" i="46"/>
  <c r="G126" i="42"/>
  <c r="G8" i="37"/>
</calcChain>
</file>

<file path=xl/sharedStrings.xml><?xml version="1.0" encoding="utf-8"?>
<sst xmlns="http://schemas.openxmlformats.org/spreadsheetml/2006/main" count="4786" uniqueCount="1035">
  <si>
    <t>Course Code</t>
  </si>
  <si>
    <t>Register Nos.</t>
  </si>
  <si>
    <t>Count</t>
  </si>
  <si>
    <t>Total
 Count</t>
  </si>
  <si>
    <t>Rajalakshmi Engineering College (Autonomous), Thandalam.</t>
  </si>
  <si>
    <t>Office of the Controller of Examinations</t>
  </si>
  <si>
    <t>S.No.</t>
  </si>
  <si>
    <t>Year</t>
  </si>
  <si>
    <t>AERO</t>
  </si>
  <si>
    <t>CIVIL</t>
  </si>
  <si>
    <t>AUTO</t>
  </si>
  <si>
    <t>FT</t>
  </si>
  <si>
    <t>CSD</t>
  </si>
  <si>
    <t>Chemical</t>
  </si>
  <si>
    <t>Lab Name</t>
  </si>
  <si>
    <t>TOTAL</t>
  </si>
  <si>
    <t>Note: In case Register number of any of the candidates is found missing, contact COE's office</t>
  </si>
  <si>
    <t>Controller of Examinations</t>
  </si>
  <si>
    <t>CH19P52</t>
  </si>
  <si>
    <t>CH19P54</t>
  </si>
  <si>
    <t>IV</t>
  </si>
  <si>
    <t>Class</t>
  </si>
  <si>
    <t xml:space="preserve"> AIML</t>
  </si>
  <si>
    <t>AI19P71</t>
  </si>
  <si>
    <t>UG/PG -  II/III/IV YEAR ODD 2024-2025 -DEC 2024</t>
  </si>
  <si>
    <t>END SEMESTER EXAMINATIONS - Hall Plan - 14.12.2024 - FN</t>
  </si>
  <si>
    <t>CSBS</t>
  </si>
  <si>
    <t>BA19701</t>
  </si>
  <si>
    <t>CD19P15</t>
  </si>
  <si>
    <t>FT19701</t>
  </si>
  <si>
    <t>CY23131</t>
  </si>
  <si>
    <t>BME</t>
  </si>
  <si>
    <t>II</t>
  </si>
  <si>
    <t>MCT</t>
  </si>
  <si>
    <t>EEE</t>
  </si>
  <si>
    <t>ECE</t>
  </si>
  <si>
    <t>R &amp; A</t>
  </si>
  <si>
    <t>RO19703</t>
  </si>
  <si>
    <t>IT</t>
  </si>
  <si>
    <t>EC23331</t>
  </si>
  <si>
    <t>AE19402</t>
  </si>
  <si>
    <t>AE23211</t>
  </si>
  <si>
    <t>AT19643</t>
  </si>
  <si>
    <t>CH23211</t>
  </si>
  <si>
    <t>CSE</t>
  </si>
  <si>
    <t>CS19643</t>
  </si>
  <si>
    <t>CP23A11</t>
  </si>
  <si>
    <t>M.E - CSE</t>
  </si>
  <si>
    <t>CU23311</t>
  </si>
  <si>
    <t>ME - COM</t>
  </si>
  <si>
    <t>IT19641</t>
  </si>
  <si>
    <t>M.Tech. - DS</t>
  </si>
  <si>
    <t>DS23311</t>
  </si>
  <si>
    <t>ME19P63</t>
  </si>
  <si>
    <t>MECH</t>
  </si>
  <si>
    <t>M.Tech -  BT</t>
  </si>
  <si>
    <t>BY23P32</t>
  </si>
  <si>
    <t>ME-AV</t>
  </si>
  <si>
    <t>AV23311</t>
  </si>
  <si>
    <t>ED23P31</t>
  </si>
  <si>
    <t>ME-ED</t>
  </si>
  <si>
    <t>MX23D31</t>
  </si>
  <si>
    <t>ME-ME</t>
  </si>
  <si>
    <t>ET23311</t>
  </si>
  <si>
    <t>ME-EST</t>
  </si>
  <si>
    <t>HS17151</t>
  </si>
  <si>
    <t>I.</t>
  </si>
  <si>
    <t>CE19P61</t>
  </si>
  <si>
    <t>Civil</t>
  </si>
  <si>
    <t>III</t>
  </si>
  <si>
    <t>B -  WORKSHOP BLOCK ,   A - ADMIN BLOCK ,  C- AERO BLOACK  &amp;  I - TIFAC  BLOCK</t>
  </si>
  <si>
    <t>Timing FN : - 09.30 AM TO 12.30 PM</t>
  </si>
  <si>
    <t>END SEMESTER EXAMINATIONS - Hall Plan - 14.12.2024 - AN</t>
  </si>
  <si>
    <t>CS19P16</t>
  </si>
  <si>
    <t>IT19741</t>
  </si>
  <si>
    <t>ME19702</t>
  </si>
  <si>
    <t>BT19701</t>
  </si>
  <si>
    <t>BT</t>
  </si>
  <si>
    <t>BM19701</t>
  </si>
  <si>
    <t>AE19701</t>
  </si>
  <si>
    <t>BA23217</t>
  </si>
  <si>
    <t>AT19701</t>
  </si>
  <si>
    <t>CD23211</t>
  </si>
  <si>
    <t>CH17303</t>
  </si>
  <si>
    <t>I</t>
  </si>
  <si>
    <t>CS17202</t>
  </si>
  <si>
    <t>EC17501</t>
  </si>
  <si>
    <t>V</t>
  </si>
  <si>
    <t>CE19701</t>
  </si>
  <si>
    <t>CH19701</t>
  </si>
  <si>
    <t>MT19701</t>
  </si>
  <si>
    <t>OAT1701</t>
  </si>
  <si>
    <t>GE23111</t>
  </si>
  <si>
    <t>AIML</t>
  </si>
  <si>
    <t>AIDS</t>
  </si>
  <si>
    <t>CSCS</t>
  </si>
  <si>
    <t>END SEMESTER EXAMINATIONS - Hall Plan - 16.12.2024 - FN</t>
  </si>
  <si>
    <t>Timing AN : - 01.30 PM TO 04.30 PM</t>
  </si>
  <si>
    <t>Timing FN : 09.30 AM TO 12.30 PM</t>
  </si>
  <si>
    <t>END SEMESTER EXAMINATIONS - Hall Plan - 16.12.2024 - AN</t>
  </si>
  <si>
    <t>AE23333</t>
  </si>
  <si>
    <t>AI19541</t>
  </si>
  <si>
    <t>AT23333</t>
  </si>
  <si>
    <t>BM23313</t>
  </si>
  <si>
    <t xml:space="preserve">BME </t>
  </si>
  <si>
    <t>BT23313</t>
  </si>
  <si>
    <t>CE23313</t>
  </si>
  <si>
    <t>CS19501</t>
  </si>
  <si>
    <t>EC19501</t>
  </si>
  <si>
    <t>EC23313</t>
  </si>
  <si>
    <t>IT19501</t>
  </si>
  <si>
    <t>ME19502</t>
  </si>
  <si>
    <t>ME23313</t>
  </si>
  <si>
    <t>EE23313</t>
  </si>
  <si>
    <t>MT23333</t>
  </si>
  <si>
    <t>RO23313</t>
  </si>
  <si>
    <t>FT23303</t>
  </si>
  <si>
    <t>CH23312</t>
  </si>
  <si>
    <t>EE19503</t>
  </si>
  <si>
    <t>BA19102</t>
  </si>
  <si>
    <t>MBA</t>
  </si>
  <si>
    <t>BA19601</t>
  </si>
  <si>
    <t>CH19602</t>
  </si>
  <si>
    <t>CY17151</t>
  </si>
  <si>
    <t>FT19602</t>
  </si>
  <si>
    <t>END SEMESTER EXAMINATIONS - Hall Plan - 18.12.2024 - FN</t>
  </si>
  <si>
    <t>END SEMESTER EXAMINATIONS - Hall Plan - 18.12.2024 - AN</t>
  </si>
  <si>
    <t>B - 426</t>
  </si>
  <si>
    <t>B - 425</t>
  </si>
  <si>
    <t>B - 424</t>
  </si>
  <si>
    <t>B - 423</t>
  </si>
  <si>
    <t>B - 422</t>
  </si>
  <si>
    <t>B - 419</t>
  </si>
  <si>
    <t>B - 418</t>
  </si>
  <si>
    <t>B - 417</t>
  </si>
  <si>
    <t>B - 416</t>
  </si>
  <si>
    <t>B - 415</t>
  </si>
  <si>
    <t>B - 412</t>
  </si>
  <si>
    <t>B - 411</t>
  </si>
  <si>
    <t>B - 410</t>
  </si>
  <si>
    <t>B - 409</t>
  </si>
  <si>
    <t>B - 408</t>
  </si>
  <si>
    <t>B - 405</t>
  </si>
  <si>
    <t>B - 404</t>
  </si>
  <si>
    <t>B - 403</t>
  </si>
  <si>
    <t>B - 402</t>
  </si>
  <si>
    <t>B - 401</t>
  </si>
  <si>
    <t>B - 325</t>
  </si>
  <si>
    <t>B - 322</t>
  </si>
  <si>
    <t>B - 321</t>
  </si>
  <si>
    <t>B - 320</t>
  </si>
  <si>
    <t>B - 302</t>
  </si>
  <si>
    <t>B - 213</t>
  </si>
  <si>
    <t>B - 212</t>
  </si>
  <si>
    <t>B - 211</t>
  </si>
  <si>
    <t>B - 210</t>
  </si>
  <si>
    <t>B - 222</t>
  </si>
  <si>
    <t>B - 221</t>
  </si>
  <si>
    <t>B - 220</t>
  </si>
  <si>
    <t>B - 219</t>
  </si>
  <si>
    <t>B - 218</t>
  </si>
  <si>
    <t>B - 107</t>
  </si>
  <si>
    <t>B - 106</t>
  </si>
  <si>
    <t>A - 102</t>
  </si>
  <si>
    <t>A - 103</t>
  </si>
  <si>
    <t>A - 108</t>
  </si>
  <si>
    <t>A - 109</t>
  </si>
  <si>
    <t>A - 110</t>
  </si>
  <si>
    <t>A - 202</t>
  </si>
  <si>
    <t>A - 203</t>
  </si>
  <si>
    <t>A - 204</t>
  </si>
  <si>
    <t>A - 205</t>
  </si>
  <si>
    <t>A - 208</t>
  </si>
  <si>
    <t>CS23332</t>
  </si>
  <si>
    <t>AD19541</t>
  </si>
  <si>
    <t>AE19501</t>
  </si>
  <si>
    <t>AT19501</t>
  </si>
  <si>
    <t>BA19501</t>
  </si>
  <si>
    <t>BM19501</t>
  </si>
  <si>
    <t>BT19502</t>
  </si>
  <si>
    <t>CB23332</t>
  </si>
  <si>
    <t>CE19501</t>
  </si>
  <si>
    <t>EE19502</t>
  </si>
  <si>
    <t>FT19501</t>
  </si>
  <si>
    <t>MT19501</t>
  </si>
  <si>
    <t>RO19502</t>
  </si>
  <si>
    <t>ME19604</t>
  </si>
  <si>
    <t>CS19601</t>
  </si>
  <si>
    <t>BA19206</t>
  </si>
  <si>
    <t>EC17502</t>
  </si>
  <si>
    <t>IT19644</t>
  </si>
  <si>
    <t>MA17453</t>
  </si>
  <si>
    <t>ME17252</t>
  </si>
  <si>
    <t>PH17251</t>
  </si>
  <si>
    <t>PH17257</t>
  </si>
  <si>
    <t>A - 209</t>
  </si>
  <si>
    <t>A - 210</t>
  </si>
  <si>
    <t>A - 211</t>
  </si>
  <si>
    <t>CS19541</t>
  </si>
  <si>
    <t>AE23331</t>
  </si>
  <si>
    <t>AT23331</t>
  </si>
  <si>
    <t>BM23311</t>
  </si>
  <si>
    <t>BT23311</t>
  </si>
  <si>
    <t>CE23331</t>
  </si>
  <si>
    <t>CY23334</t>
  </si>
  <si>
    <t>EC19502</t>
  </si>
  <si>
    <t>EC23311</t>
  </si>
  <si>
    <t>EE23311</t>
  </si>
  <si>
    <t>FT23301</t>
  </si>
  <si>
    <t>ME19541</t>
  </si>
  <si>
    <t>ME23311</t>
  </si>
  <si>
    <t>MT23331</t>
  </si>
  <si>
    <t>RO23311</t>
  </si>
  <si>
    <t>BA19P21</t>
  </si>
  <si>
    <t>GE17151</t>
  </si>
  <si>
    <t>OAI1901</t>
  </si>
  <si>
    <t>CS23311</t>
  </si>
  <si>
    <t>AI23331</t>
  </si>
  <si>
    <t>AT19502</t>
  </si>
  <si>
    <t>BA19502</t>
  </si>
  <si>
    <t>BM19541</t>
  </si>
  <si>
    <t>BT19503</t>
  </si>
  <si>
    <t>CB23312</t>
  </si>
  <si>
    <t>CD23331</t>
  </si>
  <si>
    <t>CE19502</t>
  </si>
  <si>
    <t>CH19501</t>
  </si>
  <si>
    <t>CS23532</t>
  </si>
  <si>
    <t>EC23314</t>
  </si>
  <si>
    <t>FT19502</t>
  </si>
  <si>
    <t>MT19502</t>
  </si>
  <si>
    <t>RO19503</t>
  </si>
  <si>
    <t>AE19502</t>
  </si>
  <si>
    <t>CH17501</t>
  </si>
  <si>
    <t>BA19P51</t>
  </si>
  <si>
    <t>BY23212</t>
  </si>
  <si>
    <t>EC17503</t>
  </si>
  <si>
    <t>EE17701</t>
  </si>
  <si>
    <t>GE17251</t>
  </si>
  <si>
    <t>MECH &amp; CIVIL</t>
  </si>
  <si>
    <t>IT17301</t>
  </si>
  <si>
    <t>IT17E75</t>
  </si>
  <si>
    <t>ME19D13</t>
  </si>
  <si>
    <t>ME19C13</t>
  </si>
  <si>
    <t xml:space="preserve">MECH </t>
  </si>
  <si>
    <t>ME19F13</t>
  </si>
  <si>
    <t xml:space="preserve">2216200101031 , 038 , 040 &amp; 502 </t>
  </si>
  <si>
    <t xml:space="preserve">2216211501001 -  003 , 005 -15 </t>
  </si>
  <si>
    <t>2116230101014 , 020 ,036 , 037, 040 &amp; 056</t>
  </si>
  <si>
    <t>2216211501016 - 029</t>
  </si>
  <si>
    <t>2216211501030 - 034 , 036 - 044</t>
  </si>
  <si>
    <t>2216211501045 , 047 - 059</t>
  </si>
  <si>
    <t>2216211501060 -  065 , 067 - 072 &amp; 075</t>
  </si>
  <si>
    <t>2216211501076 - 081 , 083 - 090</t>
  </si>
  <si>
    <t>2216211501091 - 093 , 095 - 096 ,098 - 102 , 106-108 &amp; 110</t>
  </si>
  <si>
    <t xml:space="preserve">2116211501111 - 112,
113,114,115,116,118,120,122,123,124,126,501 &amp; 503
</t>
  </si>
  <si>
    <t>2116211501504 -506.</t>
  </si>
  <si>
    <t>2116230111001 - 004</t>
  </si>
  <si>
    <t>2116211401001 -  004 , 006 - 008 , 010 - 015</t>
  </si>
  <si>
    <t>2116211401016 - 027  &amp; 029</t>
  </si>
  <si>
    <t>2116211401030 - 042</t>
  </si>
  <si>
    <t>2116211401043 - 055</t>
  </si>
  <si>
    <t>2116211401056 - 063 , 065  &amp; 501</t>
  </si>
  <si>
    <t xml:space="preserve">2116230411006, 007,
008,009,010,011,013,
014,015,017,018,021,022 &amp; 024
</t>
  </si>
  <si>
    <t>2116211701001 -  003</t>
  </si>
  <si>
    <t>2116211701004 - 016</t>
  </si>
  <si>
    <t>2116 211701017 - 021 , 023 , 025 - 031</t>
  </si>
  <si>
    <t>2116211701032 - 044</t>
  </si>
  <si>
    <t>2116211701045 - 056 , 059</t>
  </si>
  <si>
    <t>2116211701061 ,  063 , 501 , 503 &amp; 504</t>
  </si>
  <si>
    <t>2116210601023 &amp; 038</t>
  </si>
  <si>
    <t>2116230501010 , 019 , 020 , 022 &amp; 046</t>
  </si>
  <si>
    <t>2116230711001 - 011 &amp; 013</t>
  </si>
  <si>
    <r>
      <t xml:space="preserve">2116210701069,
100, 171,180,204,228,304, 502,508,522,701 &amp; 703 , </t>
    </r>
    <r>
      <rPr>
        <b/>
        <sz val="12"/>
        <color theme="1"/>
        <rFont val="Times New Roman"/>
        <family val="1"/>
      </rPr>
      <t>2116190701504, 200701503200701508, 200701503200701508 &amp; 200701503200701520</t>
    </r>
    <r>
      <rPr>
        <sz val="12"/>
        <color theme="1"/>
        <rFont val="Times New Roman"/>
        <family val="1"/>
      </rPr>
      <t xml:space="preserve">
</t>
    </r>
  </si>
  <si>
    <t>2116230811001 - 004</t>
  </si>
  <si>
    <t>2116230301017 , 022 , 034 &amp; 081</t>
  </si>
  <si>
    <t>2116231201004 , 008 , 010 &amp; 016</t>
  </si>
  <si>
    <t>2116231201021 , 024 , 027 , 031 , 039  &amp; 040</t>
  </si>
  <si>
    <t xml:space="preserve">2116230901003,
009, 010, 029, 033, 054 &amp; 060
</t>
  </si>
  <si>
    <t>2116230901087 , 100 , 101 , 103 &amp; 104</t>
  </si>
  <si>
    <t xml:space="preserve">2116230801006,
119,129,168,193,202,203 &amp; 209
</t>
  </si>
  <si>
    <t xml:space="preserve">2116230801215 , 218 ,  221 , 232 &amp; 245   </t>
  </si>
  <si>
    <t xml:space="preserve">2116231601006,
021,024,  025, 029, 032, 041, 043 &amp; 045
</t>
  </si>
  <si>
    <t>2116231601056 &amp;
059</t>
  </si>
  <si>
    <t>2116231011001 - 008 , 010 , 012  -016</t>
  </si>
  <si>
    <t>2116231001006,
027, 035, 043, 053,
064, 067, 086, 087, 089 &amp; 090</t>
  </si>
  <si>
    <t xml:space="preserve">2116231001100,
108,  114, 122, 126, 128, 130,  137,
138, 140, 147,154 &amp; 159
</t>
  </si>
  <si>
    <t xml:space="preserve">2116 231001161 , 162,
166,  167, 169, 170, 171, 179, 181,
182, 186, 193 &amp; 200.
</t>
  </si>
  <si>
    <t xml:space="preserve">2116 231001207,
219, 226, 227, 233, 237, 244 &amp;245
</t>
  </si>
  <si>
    <t xml:space="preserve"> 2116231111001 - 003 , 005 , 006 &amp; 008</t>
  </si>
  <si>
    <t>2116230911001 - 006</t>
  </si>
  <si>
    <t>2116211301001 - 008  , 010 , 013</t>
  </si>
  <si>
    <t>2116211301014 - 027</t>
  </si>
  <si>
    <t>2116211301028 - 041</t>
  </si>
  <si>
    <t>2116211301042 -  055</t>
  </si>
  <si>
    <t>2116211301056 , 701 &amp; 901</t>
  </si>
  <si>
    <t>2116211001020 , 032 , 036 ,  074 , 091 , 701 &amp; 702</t>
  </si>
  <si>
    <t>2116230311001 - 003</t>
  </si>
  <si>
    <t>2116211601001 - 010</t>
  </si>
  <si>
    <t>2116211601011 - 024</t>
  </si>
  <si>
    <t>2116211601025 - 038</t>
  </si>
  <si>
    <t>2116211601039 - 040 , 042 -053</t>
  </si>
  <si>
    <t>2116211601501 - 503</t>
  </si>
  <si>
    <r>
      <t xml:space="preserve">2116211601504 - 506 &amp; </t>
    </r>
    <r>
      <rPr>
        <b/>
        <sz val="12"/>
        <color theme="1"/>
        <rFont val="Times New Roman"/>
        <family val="1"/>
      </rPr>
      <t>2116201601032</t>
    </r>
  </si>
  <si>
    <t>2116210101001 - 002 , 004 - 008</t>
  </si>
  <si>
    <t>2116210101009 - 013  &amp; 015 - 036</t>
  </si>
  <si>
    <r>
      <t xml:space="preserve">2116210101038 - 053 , 501 , 502 &amp; 701  &amp; </t>
    </r>
    <r>
      <rPr>
        <b/>
        <sz val="12"/>
        <color theme="1"/>
        <rFont val="Times New Roman"/>
        <family val="1"/>
      </rPr>
      <t>2116200101031 , 038 , 046 , 501- 503</t>
    </r>
  </si>
  <si>
    <t>2116210201001 - 015 &amp; 501</t>
  </si>
  <si>
    <t xml:space="preserve">2116231401017,
018, 050, 074, 109 &amp; 120 
</t>
  </si>
  <si>
    <t xml:space="preserve">2116210301001,
002, 003, 004 , 005, 006, 007, 009,
011, 012, 014, 015, 016, 018, 019, 020, 022, 024, 025, 026, 027, 028, 029, 031, 034 &amp; 035
</t>
  </si>
  <si>
    <t>2116210301036 - 039 , 041 - 052 , 054 - 065</t>
  </si>
  <si>
    <t>2116210301066 - 075 , 077 - 093</t>
  </si>
  <si>
    <t>2116210301094 -  110 , 112 - 118</t>
  </si>
  <si>
    <t>2116210401001 - 011</t>
  </si>
  <si>
    <t>2116210401012 - 025 , 027-028, 030 - 039 &amp; 041</t>
  </si>
  <si>
    <t xml:space="preserve">2116210401042 , 043 , 045 - 051 , 053 - 057, 059 -060 , 062 - 063 , 065 - 066 , 068 - 074 </t>
  </si>
  <si>
    <t>2116210401075 - 101</t>
  </si>
  <si>
    <t>2116210401102 -  114 , 116 - 127 , 129 - 130</t>
  </si>
  <si>
    <t>2116210401131 - 134 , 136 - 154.</t>
  </si>
  <si>
    <t>2116210601001 -  003 , 005 - 008 , 010 - 029</t>
  </si>
  <si>
    <t>2116210601030 -  045 &amp; 502</t>
  </si>
  <si>
    <t>2116210501001 &amp; 002</t>
  </si>
  <si>
    <t>2116210501003 - 013 ,  015 - 030</t>
  </si>
  <si>
    <t>2116210501031 - 033 ,  035 - 052</t>
  </si>
  <si>
    <t>2116180701156 &amp; 2116190701701</t>
  </si>
  <si>
    <t xml:space="preserve">2116210701001 - 27 </t>
  </si>
  <si>
    <t>2116210701028 - 053  &amp; 055</t>
  </si>
  <si>
    <t xml:space="preserve">2116210701056 - 060  &amp; 062 - 083 </t>
  </si>
  <si>
    <t>2116210701084 - 110</t>
  </si>
  <si>
    <t>211621070138 - 164</t>
  </si>
  <si>
    <t>211621070111 - 137</t>
  </si>
  <si>
    <t xml:space="preserve">211621070165 -  191 </t>
  </si>
  <si>
    <t>211621070192 - 218</t>
  </si>
  <si>
    <t>211621070219 -  245</t>
  </si>
  <si>
    <t>211621070246 - 256 , 258 - 273</t>
  </si>
  <si>
    <t>211621070274 -  300</t>
  </si>
  <si>
    <t>211621070301 - 325  &amp; 501 - 502</t>
  </si>
  <si>
    <r>
      <t xml:space="preserve">211621070 503 -  524 , 701 -0703 &amp; </t>
    </r>
    <r>
      <rPr>
        <b/>
        <sz val="12"/>
        <color theme="1"/>
        <rFont val="Times New Roman"/>
        <family val="1"/>
      </rPr>
      <t>2116200701503 &amp; 2116200701508</t>
    </r>
  </si>
  <si>
    <t xml:space="preserve">2116231101025 , 
082, 105, 108 &amp; 109 </t>
  </si>
  <si>
    <t>2116231101113 - 117</t>
  </si>
  <si>
    <t>2116 230201006 , 008 &amp; 019</t>
  </si>
  <si>
    <t>2116230301017 ,  034 , 113 &amp; 121</t>
  </si>
  <si>
    <t>2116230401049 , 
133, 134, 136, 147, 148, 150, 164, 168 &amp; 173</t>
  </si>
  <si>
    <t xml:space="preserve">2116231201021 , 027 &amp; 033 </t>
  </si>
  <si>
    <t xml:space="preserve">2116231001084, 086,087,089,090,094,112,114,
122, 128, 162, 169, 222, 233 &amp; 237
</t>
  </si>
  <si>
    <t>2116230901009 &amp; 087</t>
  </si>
  <si>
    <t xml:space="preserve">2116230801001, 005,016,  028,042, 048,061, 065,068 &amp; 072
</t>
  </si>
  <si>
    <t>2116230801245 , 250 , 253 &amp;  255</t>
  </si>
  <si>
    <t>2116230101014 , 035 , 036 , 040 , 052  , 056 &amp; 057</t>
  </si>
  <si>
    <t xml:space="preserve">2116230701003, 007, 009, 010, 013, 014,020, 031, 035, 050,104, 105, 111, 115, 119 &amp; 122
</t>
  </si>
  <si>
    <t xml:space="preserve">2116230701322 ,
324 , 329 , 339, 341, 347  , 359 , 365 , 372, 376, 387,391,395, 401 &amp; 402
</t>
  </si>
  <si>
    <t xml:space="preserve">2116230501017 , 020 , 024 &amp;  044. </t>
  </si>
  <si>
    <t>2116231301019 , 044 &amp; 047</t>
  </si>
  <si>
    <t xml:space="preserve">2116231501022 ,  023 , 026 , 036 &amp; 050 </t>
  </si>
  <si>
    <t>231501062 ,  067 , 071 , 078 ,  101 , 102 ,  152 , 158 , 159  , 161 , 162, 166 , 173 - 175  &amp; 184</t>
  </si>
  <si>
    <t>2116231801006 ,  014 , 019 , 036 , 037 041 ,  054 ,067 ,  073 , 088 &amp; 094</t>
  </si>
  <si>
    <t>2116231801103,110, 111,112,115,124,126,130,141,150,
153,168,169,183,184 &amp; 185</t>
  </si>
  <si>
    <t>2116231901002  , 003 , 014 , 018 &amp; 044</t>
  </si>
  <si>
    <t>2116211001029 - 042 , 044 - 047 , 049 - 057</t>
  </si>
  <si>
    <t>2116211001001 , 003 - 028</t>
  </si>
  <si>
    <t>2116211001058 - 084</t>
  </si>
  <si>
    <t>2116211001085 - 092 , 094 - 112</t>
  </si>
  <si>
    <t xml:space="preserve">2116211001114 - 127  , 502 , 504 - 510 </t>
  </si>
  <si>
    <t>2116210801051 ,  142  &amp; 239</t>
  </si>
  <si>
    <t>2116211101001 - 024</t>
  </si>
  <si>
    <t>2116211101025 - 031 , 033 - 053</t>
  </si>
  <si>
    <t>2116211101054 - 080</t>
  </si>
  <si>
    <t>2116211101081 - 102 , 105 -108 , 110</t>
  </si>
  <si>
    <t>211621110111 - 130  , 501 - 503 , 506 - 509.</t>
  </si>
  <si>
    <t>2116211101510 - 536</t>
  </si>
  <si>
    <r>
      <t xml:space="preserve">2116211101537 -  549  , 701 &amp; </t>
    </r>
    <r>
      <rPr>
        <b/>
        <sz val="12"/>
        <color theme="1"/>
        <rFont val="Times New Roman"/>
        <family val="1"/>
      </rPr>
      <t>2116201101146 &amp;  2116201101503</t>
    </r>
  </si>
  <si>
    <t>2116211201001 - 005 , 007 -011</t>
  </si>
  <si>
    <t>2116211201012 - 038</t>
  </si>
  <si>
    <t>2116211201039 - 051 , 501 , 503 , 504 , 506 - 510 , 512 - 516.</t>
  </si>
  <si>
    <t>2116180901104 &amp; 2116180901513</t>
  </si>
  <si>
    <t xml:space="preserve">2116230801075, 084, 086, 087, 093, 097, 098, 119, 121, 123, 128, 129,
131, 141, 159, 168, 170, 188, 196, 201, 203, 207, 209, 218, 224, 232 &amp; 240
</t>
  </si>
  <si>
    <t xml:space="preserve">2116230701128,136, 138, 148, 175, 177,188,   193,194,204,205,210,217,220,223,228,230,232,242,268, 269,273,284,296,
307,318 &amp; 321 </t>
  </si>
  <si>
    <t>2116230101001 - 027</t>
  </si>
  <si>
    <t>2116230101028 - 054</t>
  </si>
  <si>
    <t>2116230101055 - 64  &amp; 701 -703</t>
  </si>
  <si>
    <t>2116221501001 - 008 , 010 - 015</t>
  </si>
  <si>
    <t>2116221501016 - 32 , 034 - 043</t>
  </si>
  <si>
    <t>2116221501044 - 060 , 062 - 071</t>
  </si>
  <si>
    <t>2116221501072 - 081 , 083 - 099</t>
  </si>
  <si>
    <t>2116221501100 - 126</t>
  </si>
  <si>
    <t>2116221501127 -  153</t>
  </si>
  <si>
    <t>2116221501154 -  180</t>
  </si>
  <si>
    <t>2116221501181 - 190 , 501 -517</t>
  </si>
  <si>
    <t>2116221501518 , 701 , 901 , 902</t>
  </si>
  <si>
    <t>2116230201001 - 007 , 009 - 024</t>
  </si>
  <si>
    <t>2116230201025 - 030 , 501 - 504</t>
  </si>
  <si>
    <t>2116211401035 , 056  &amp; 501</t>
  </si>
  <si>
    <t>2116230301001 - 010 , 012 -019</t>
  </si>
  <si>
    <t>2116230301020 - 046</t>
  </si>
  <si>
    <t>2116230301047 - 056 , 059 - 062 , 064 -076</t>
  </si>
  <si>
    <t>2116230301077  - 083 , 085 - 98 , 101 - 106.</t>
  </si>
  <si>
    <t>2116230301107 , 109- 116 , 118 -121 ,  701</t>
  </si>
  <si>
    <t>2116230401001 - 004 ,006 -  014</t>
  </si>
  <si>
    <t>2116230401015 - 033 , 035 - 042</t>
  </si>
  <si>
    <t>2116230401043 - 066 , 068 - 070</t>
  </si>
  <si>
    <t>2116230401071 - 097</t>
  </si>
  <si>
    <t>2116230401098 - 103 , 105 - 125</t>
  </si>
  <si>
    <t>2116230401126 - 152</t>
  </si>
  <si>
    <t>2116230401153 - 179</t>
  </si>
  <si>
    <t>2116230401180 - 191</t>
  </si>
  <si>
    <t xml:space="preserve">2116230601001 - 015 </t>
  </si>
  <si>
    <t>2116230601016 - 42</t>
  </si>
  <si>
    <t>2116230601043 , 045 - 062 ,  501-504  &amp; 701</t>
  </si>
  <si>
    <t>2116230501001 -  019</t>
  </si>
  <si>
    <t>2116230501021 - 043 , 045 - 048</t>
  </si>
  <si>
    <t xml:space="preserve">2116230501049 -  057 , 059 - 062 &amp; 501 - 505 </t>
  </si>
  <si>
    <t>2116 211701029 &amp; 2116 211701039</t>
  </si>
  <si>
    <t>CSD ( ARR)</t>
  </si>
  <si>
    <t>CSE ( ARR)</t>
  </si>
  <si>
    <t>2116220701001 - 027</t>
  </si>
  <si>
    <t>2116220701028 - 054</t>
  </si>
  <si>
    <t xml:space="preserve">2116220701055 - 81 </t>
  </si>
  <si>
    <t>2116220701082 - 108</t>
  </si>
  <si>
    <t>2116220701109 - 135</t>
  </si>
  <si>
    <t>2116220701136 - 140, 142 - 163</t>
  </si>
  <si>
    <t>2116220701164 - 165, 167 - 191</t>
  </si>
  <si>
    <t>2116220701192 - 218</t>
  </si>
  <si>
    <t>2116220701219 ,  221 -246</t>
  </si>
  <si>
    <t>2116220701247 - 251 , 253 - 257 , 259-275</t>
  </si>
  <si>
    <t>2116220701276 -  299 , 301 - 303</t>
  </si>
  <si>
    <t>2116220701304 - 330</t>
  </si>
  <si>
    <t>2116220701331 -  333 ,  501 - 520 522 -525</t>
  </si>
  <si>
    <t>2116220701526 , 901 &amp; 902</t>
  </si>
  <si>
    <t>2116221701001 - 021 , 023 -025</t>
  </si>
  <si>
    <t>2116221701026 - 039 , 041 - 053</t>
  </si>
  <si>
    <t>2116221701054 - 063 , 501 - 505 &amp; 701</t>
  </si>
  <si>
    <t>2116190701055 , 2116190701506 , 2116200701288 , 2116200701504, 2116200701513 &amp; 2116200701520</t>
  </si>
  <si>
    <t>ECE (ARR)</t>
  </si>
  <si>
    <t>2116210801032 , 114 , 137 , 138 , 143 , 151 , 190 , 253 , 505 , 514 , 703</t>
  </si>
  <si>
    <t>2116200801042 , 085 , 102 , 138 , 202 , 507 , 508 , 510 &amp; 516</t>
  </si>
  <si>
    <t>2116220801001 - 002</t>
  </si>
  <si>
    <t>2116220801003 - 029</t>
  </si>
  <si>
    <t>2116220801030 - 056</t>
  </si>
  <si>
    <t>2116220801057 - 083</t>
  </si>
  <si>
    <t>2116220801084 - 110</t>
  </si>
  <si>
    <t>2116220801111 - 137</t>
  </si>
  <si>
    <t>2116220801138 - 164</t>
  </si>
  <si>
    <t>2116220801165 - 191</t>
  </si>
  <si>
    <t>2116220801192 , 193 - 219</t>
  </si>
  <si>
    <t>2116220801220 - 246</t>
  </si>
  <si>
    <t>2116220801247 - 250 , 252 , 501 , 503 , 504 , 506 - 513 , 515 -523 , 701 &amp;   901</t>
  </si>
  <si>
    <t>2116230801001 - 007</t>
  </si>
  <si>
    <t>2116230801008 - 034</t>
  </si>
  <si>
    <t>2116230801035 - 061</t>
  </si>
  <si>
    <t>2116230801062 -088</t>
  </si>
  <si>
    <t>2116230801089 - 109 , 111 -115 , 117</t>
  </si>
  <si>
    <t>2116230801118 -144</t>
  </si>
  <si>
    <t>2116230801145 - 171</t>
  </si>
  <si>
    <t>2116230801172 - 198</t>
  </si>
  <si>
    <t>2116230801199 - 215 , 217 - 226</t>
  </si>
  <si>
    <t>2116230801227 -253</t>
  </si>
  <si>
    <t>2116230801254 , 255 &amp;  501-520 &amp; 901.</t>
  </si>
  <si>
    <t xml:space="preserve">2116210901027, 2116210901038, 2116210901050,
2116210901067, 2116210901107,
2116210901502, 2116210901504,
2116210901511, 2116200901025,
2116200901036, 2116200901064,
2116200901506 &amp; 2116 200901516
</t>
  </si>
  <si>
    <t>EEE (ARR)</t>
  </si>
  <si>
    <t>2116230901001 - 027</t>
  </si>
  <si>
    <t>2116230901028 - 054</t>
  </si>
  <si>
    <t>2116230901055 - 076 , 078-080 &amp; 082 - 083</t>
  </si>
  <si>
    <t>2116230901084 -  110</t>
  </si>
  <si>
    <t xml:space="preserve">2116230901111 -  127 , 501- 510 </t>
  </si>
  <si>
    <t>2116230901511 &amp; 512</t>
  </si>
  <si>
    <t>2116211301015 &amp; 2116201301040</t>
  </si>
  <si>
    <t>2116231301001 - 018 , 020 -027</t>
  </si>
  <si>
    <t>2116231301028 - 048 , 050 - 055</t>
  </si>
  <si>
    <t>2116231301056 - 063</t>
  </si>
  <si>
    <t>IT ( ARR )</t>
  </si>
  <si>
    <t>2116201001055  &amp; 2116211001091</t>
  </si>
  <si>
    <t>2116221001001 - 004</t>
  </si>
  <si>
    <t>2116221001005 -  031</t>
  </si>
  <si>
    <t>2116221001032 - 058</t>
  </si>
  <si>
    <t>2116221001059 -  063 , 065 -086</t>
  </si>
  <si>
    <t>2116221001087 - 111 , 113 &amp;114</t>
  </si>
  <si>
    <t>2116221001115 -   141</t>
  </si>
  <si>
    <t>2116221001142 - 168</t>
  </si>
  <si>
    <t>2116221001169 -  193  &amp; 501 &amp; 502</t>
  </si>
  <si>
    <t xml:space="preserve">2116221001503 - 511 , 701 &amp; 703 , 901 &amp; 902  </t>
  </si>
  <si>
    <t>MECH (ARR )</t>
  </si>
  <si>
    <t xml:space="preserve">2116211101532 , 2116201101054, 2116201101068,
2116201101141,2116201101146,
2116201101149,2116201101501,
2116201101515,2116201101539,
2116201101540 &amp; 2116201101541  
</t>
  </si>
  <si>
    <t>2116221101001 - 003</t>
  </si>
  <si>
    <t xml:space="preserve">2116221101004 - 024 , 026 -031 </t>
  </si>
  <si>
    <t>2116221101032 - 039 , 041 -058 &amp; 060 - 061</t>
  </si>
  <si>
    <t>2116221101063 - 070 , 072 - 075</t>
  </si>
  <si>
    <t>2116221101076 -  102</t>
  </si>
  <si>
    <t>2116221101103 - 128 &amp;  502</t>
  </si>
  <si>
    <t>2116221101503 -  513</t>
  </si>
  <si>
    <t>2116231101001 -  027</t>
  </si>
  <si>
    <t>2116231101028 -  032 , 034 -055</t>
  </si>
  <si>
    <t>2116231101056 - 058 , 060 - 083</t>
  </si>
  <si>
    <t>2116231101084 - 095 , 098 -103, 105 - 114</t>
  </si>
  <si>
    <t>2116231101115 - 125 ,  501-505 , 507 - 513</t>
  </si>
  <si>
    <t>2116231201001 -  008 , 010 -026</t>
  </si>
  <si>
    <t>2116231201027 - 053</t>
  </si>
  <si>
    <t>2116231201054 - 064 &amp; 501 - 504</t>
  </si>
  <si>
    <t>2116231601001 -  012</t>
  </si>
  <si>
    <t>2116231601013 -  039</t>
  </si>
  <si>
    <t>2116231601040 - 063 , 501 &amp; 503</t>
  </si>
  <si>
    <t>B426</t>
  </si>
  <si>
    <t>B425</t>
  </si>
  <si>
    <t>B424</t>
  </si>
  <si>
    <t>B423</t>
  </si>
  <si>
    <t>B422</t>
  </si>
  <si>
    <t>B419</t>
  </si>
  <si>
    <t>B418</t>
  </si>
  <si>
    <t>B417</t>
  </si>
  <si>
    <t>B416</t>
  </si>
  <si>
    <t>B415</t>
  </si>
  <si>
    <t>B412</t>
  </si>
  <si>
    <t>B411</t>
  </si>
  <si>
    <t>B410</t>
  </si>
  <si>
    <t>B409</t>
  </si>
  <si>
    <t>B408</t>
  </si>
  <si>
    <t>B405</t>
  </si>
  <si>
    <t>B404</t>
  </si>
  <si>
    <t>B403</t>
  </si>
  <si>
    <t>B402</t>
  </si>
  <si>
    <t>B401</t>
  </si>
  <si>
    <t>B325</t>
  </si>
  <si>
    <t>B322</t>
  </si>
  <si>
    <t>B321</t>
  </si>
  <si>
    <t>B320</t>
  </si>
  <si>
    <t>B302</t>
  </si>
  <si>
    <t>B213</t>
  </si>
  <si>
    <t>B212</t>
  </si>
  <si>
    <t>B211</t>
  </si>
  <si>
    <t>B210</t>
  </si>
  <si>
    <t>B222</t>
  </si>
  <si>
    <t>B220</t>
  </si>
  <si>
    <t>B219</t>
  </si>
  <si>
    <t>B218</t>
  </si>
  <si>
    <t>B221</t>
  </si>
  <si>
    <t>B107</t>
  </si>
  <si>
    <t>B106</t>
  </si>
  <si>
    <t>A311</t>
  </si>
  <si>
    <t>A310</t>
  </si>
  <si>
    <t>A309</t>
  </si>
  <si>
    <t>A308</t>
  </si>
  <si>
    <t>A305</t>
  </si>
  <si>
    <t>A304</t>
  </si>
  <si>
    <t>A303</t>
  </si>
  <si>
    <t>A302</t>
  </si>
  <si>
    <t>A205</t>
  </si>
  <si>
    <t>A211</t>
  </si>
  <si>
    <t>A209</t>
  </si>
  <si>
    <t>A210</t>
  </si>
  <si>
    <t>2116221801001 - 027</t>
  </si>
  <si>
    <t>2116221801028 - 054</t>
  </si>
  <si>
    <t>2116221801055 - 063  &amp;  501 - 506.</t>
  </si>
  <si>
    <t>AERO (ARR)</t>
  </si>
  <si>
    <t>2116210101023 , 027 , 029 , 030 ,038 , 045 ,  049 ,  052 &amp; 2116200101012 , 031 , 036 ,  038  ,  501- 503.</t>
  </si>
  <si>
    <t>220101001 -  012</t>
  </si>
  <si>
    <t>220101013 - 017 , 019, 021 - 042</t>
  </si>
  <si>
    <t>220101043 -  051 , 501</t>
  </si>
  <si>
    <t xml:space="preserve">2116220201001 - 017 , 019 -020 &amp; 501- 504  </t>
  </si>
  <si>
    <t>2116225111095 &amp; 2116225111122</t>
  </si>
  <si>
    <t>CSBS ( ARR )</t>
  </si>
  <si>
    <t>2116221401001 - 019 , 021 -028</t>
  </si>
  <si>
    <t>2116221401029 - 055</t>
  </si>
  <si>
    <t>2116221401056 -  082</t>
  </si>
  <si>
    <t>2116221401083 - 109</t>
  </si>
  <si>
    <t>2116221401111  - 125 &amp;  501 - 505 &amp; 701 , 901 - 903</t>
  </si>
  <si>
    <t>BME (ARR)</t>
  </si>
  <si>
    <t xml:space="preserve">2116210301002 , 2116210301028 &amp; 2116200301007 &amp; 2116200301019 &amp; 2116200301054 </t>
  </si>
  <si>
    <t>2116220301001 -  003 , 005 - 028</t>
  </si>
  <si>
    <t>2116220301029 -  049 , 051 - 056</t>
  </si>
  <si>
    <t xml:space="preserve">2116220301057 - 080 , 082 - 084 </t>
  </si>
  <si>
    <t>2116220301085 -  111</t>
  </si>
  <si>
    <t>2116220301113 -  122 &amp; 701</t>
  </si>
  <si>
    <t>220401001 - 004</t>
  </si>
  <si>
    <t>220401005 - 015</t>
  </si>
  <si>
    <t>220401016 - 042</t>
  </si>
  <si>
    <t>220401043 - 069</t>
  </si>
  <si>
    <t>220401070  - 096</t>
  </si>
  <si>
    <t>220401097 - 123</t>
  </si>
  <si>
    <t>220401124 - 150</t>
  </si>
  <si>
    <t>220401151 - 177</t>
  </si>
  <si>
    <t>220401178 - 184  &amp;  701</t>
  </si>
  <si>
    <t>2116231401001 - 019</t>
  </si>
  <si>
    <t>2116231401020 - 046</t>
  </si>
  <si>
    <t>2116231401047 - 073</t>
  </si>
  <si>
    <t>2116231401074 - 077 , 079 -100 , 102</t>
  </si>
  <si>
    <t>2116231401103 - 117 , 119 - 127 &amp; 501 &amp; 502</t>
  </si>
  <si>
    <t>CIVIL (ARR)</t>
  </si>
  <si>
    <t>2116210601038 &amp;  039</t>
  </si>
  <si>
    <t>2116220601001 -008, 010 -025 , 027 - 029</t>
  </si>
  <si>
    <t>2116220601030 - 040  &amp; 501- 508</t>
  </si>
  <si>
    <t>2116220501001 ,  002 , 004 , 007 ,  008 , 010</t>
  </si>
  <si>
    <t>2116220501011 - 013  , 017,
018,020, 023,024, 026,027, 028,031, 034, 036, 039,041,042,045,046,
050,053,054,055,501,502 &amp; 503</t>
  </si>
  <si>
    <t>2116220501003,005,006,009,014,
015,016,019,021, 022,025,029,030,032,033,35,
037,038,040,043,044,047,
048,049,051,052 &amp; 901</t>
  </si>
  <si>
    <t>2116210701135, 2116210701204,
2116210701228,2116190701055,
2116190701504,2116200701503,
2116200701504, 2116200701508 &amp; 2116200701520</t>
  </si>
  <si>
    <t>2116230701001 -  027</t>
  </si>
  <si>
    <t>2116230701028 - 054</t>
  </si>
  <si>
    <t>2116230701055 -067 , 069 - 082</t>
  </si>
  <si>
    <t>21162307010083 -   098 , 100 -110</t>
  </si>
  <si>
    <t>2116230701111 - 137</t>
  </si>
  <si>
    <t>2116230701138 -  149 , 151 - 165</t>
  </si>
  <si>
    <t xml:space="preserve">2116230701166 - 189 , 191 - 193 </t>
  </si>
  <si>
    <t>2116230701194 -  220</t>
  </si>
  <si>
    <t>2116230701221 - 226 , 228 -230, 232 - 249</t>
  </si>
  <si>
    <t>2116230701250 -  276</t>
  </si>
  <si>
    <t>2116230701277 - 280 , 282 - 304.</t>
  </si>
  <si>
    <t>2116230701305 - 331</t>
  </si>
  <si>
    <t>2116230701332 -  358</t>
  </si>
  <si>
    <t>2116230701359 -  386</t>
  </si>
  <si>
    <t>2116230701512 -  524</t>
  </si>
  <si>
    <t>2116230701387 -  403  &amp;  501 - 511</t>
  </si>
  <si>
    <t>2116231001001 -  014</t>
  </si>
  <si>
    <t>2116231001015 - 041</t>
  </si>
  <si>
    <t>2116231001042 - 068</t>
  </si>
  <si>
    <t>2116231001069 - 095</t>
  </si>
  <si>
    <t>2116231001096 - 122</t>
  </si>
  <si>
    <t>2116231001123 - 143 , 145 -150</t>
  </si>
  <si>
    <t>2116231001151 -  177</t>
  </si>
  <si>
    <t>2116231001178 -  201 , 203 - 205</t>
  </si>
  <si>
    <t>2116231001206 - 221 , 223 - 228 , 230 -234</t>
  </si>
  <si>
    <t>2116231001235 - 256 ,  501-505</t>
  </si>
  <si>
    <t>2116231001506 - 514</t>
  </si>
  <si>
    <t>2116231501001 - 018</t>
  </si>
  <si>
    <t>2116231501019 -  042 , 044 - 046</t>
  </si>
  <si>
    <t>2116231501047 -  073</t>
  </si>
  <si>
    <t>2116231501074 - 100</t>
  </si>
  <si>
    <t>2116231501101 -  127</t>
  </si>
  <si>
    <t>2116231501128 -  154</t>
  </si>
  <si>
    <t>2116231501155 - 181</t>
  </si>
  <si>
    <t>2116231501182 -189 &amp;  501 - 511</t>
  </si>
  <si>
    <t xml:space="preserve">2116231801001 - 008 , </t>
  </si>
  <si>
    <t>2116231801009 - 035</t>
  </si>
  <si>
    <t>2116231801036 - 041 , 043- 063</t>
  </si>
  <si>
    <t>2116231801064 -  090</t>
  </si>
  <si>
    <t>2116231801091 - 117</t>
  </si>
  <si>
    <t xml:space="preserve">2116231801118 - 144 </t>
  </si>
  <si>
    <t>2116231801145 - 171</t>
  </si>
  <si>
    <t xml:space="preserve">2116231801172 -  189 &amp; 501 - 509  </t>
  </si>
  <si>
    <t>2116231701001 - 026</t>
  </si>
  <si>
    <t>2116231701027 - 052</t>
  </si>
  <si>
    <t xml:space="preserve">2116231701053 - 063  &amp; 501 </t>
  </si>
  <si>
    <t>2116231901001 -  014</t>
  </si>
  <si>
    <t>2116231901015 - 033 , 035  -042</t>
  </si>
  <si>
    <t>2116231901043 - 64 &amp; 501 , 502 &amp; 503</t>
  </si>
  <si>
    <t>2116170801127 &amp; 2116170801198</t>
  </si>
  <si>
    <t>EE19501</t>
  </si>
  <si>
    <t>2116220901001 - 027</t>
  </si>
  <si>
    <t>2116220901028 - 036 , 038 - 055</t>
  </si>
  <si>
    <t>2116220901056 - 066 , 068 - 083</t>
  </si>
  <si>
    <t>2116220901085 - 111</t>
  </si>
  <si>
    <t xml:space="preserve">2116220901112 -  125 &amp;  501 , 505 -509 &amp; 901  </t>
  </si>
  <si>
    <t xml:space="preserve">2116200901025 , 2116200901036 , 2116200901507 &amp; 2116200901516 </t>
  </si>
  <si>
    <t>FT ( ARR )</t>
  </si>
  <si>
    <t>2116221301001 -  018 , 020 - 028</t>
  </si>
  <si>
    <t>2116221301029 - 055</t>
  </si>
  <si>
    <t>2116221301056 -  061  &amp; 701</t>
  </si>
  <si>
    <t>2116211001036, 2116211001044,
2116211001056,2116211001074,
2116211001105,2116211001507,
2116211001701 &amp; 211620100505</t>
  </si>
  <si>
    <t>IT ( ARR)</t>
  </si>
  <si>
    <t>2116170701209 &amp;  2116170701502</t>
  </si>
  <si>
    <t>2116170501036 &amp;2116180501028</t>
  </si>
  <si>
    <t>2116211101009, 2116211101080,
2116211101092, 2116211101126,
2116211101515,2116211101533,
2116211101542,2116211101546,
2116201101068,2116201101080,
2116201101125,2116201101141,
2116201101507 &amp; 2116201101539</t>
  </si>
  <si>
    <t>MECH ( ARR)</t>
  </si>
  <si>
    <t>MCT (ARR)</t>
  </si>
  <si>
    <t>2116211201037 , 051 , 501 &amp; 510</t>
  </si>
  <si>
    <t>2116221201001 - 019</t>
  </si>
  <si>
    <t>2116221201020 - 046</t>
  </si>
  <si>
    <t xml:space="preserve">2116221201047 - 062 &amp; 501 , 502 , 504 &amp; 506 </t>
  </si>
  <si>
    <t>R &amp; A ( ARR )</t>
  </si>
  <si>
    <t>2116211601039 &amp; 040</t>
  </si>
  <si>
    <t>2116221601001 -  027</t>
  </si>
  <si>
    <t>2116221601028 -  054</t>
  </si>
  <si>
    <t xml:space="preserve">2116221601055 - 061 &amp;  501 - 505 </t>
  </si>
  <si>
    <t>END SEMESTER EXAMINATIONS - Hall Plan - 23.12.2024 - FN</t>
  </si>
  <si>
    <t>A -202</t>
  </si>
  <si>
    <t>A -103</t>
  </si>
  <si>
    <t>C - 101</t>
  </si>
  <si>
    <t>C - 102</t>
  </si>
  <si>
    <t>C - 103</t>
  </si>
  <si>
    <t xml:space="preserve"> C - 201</t>
  </si>
  <si>
    <t>C - 202</t>
  </si>
  <si>
    <t xml:space="preserve"> C - 301</t>
  </si>
  <si>
    <t xml:space="preserve"> C - 302</t>
  </si>
  <si>
    <t>C - 307</t>
  </si>
  <si>
    <t>C -308</t>
  </si>
  <si>
    <t>I - 2</t>
  </si>
  <si>
    <t>MA23312</t>
  </si>
  <si>
    <t>MA23313</t>
  </si>
  <si>
    <t>MA23311</t>
  </si>
  <si>
    <t>CB19342</t>
  </si>
  <si>
    <t>AIML (ARR)</t>
  </si>
  <si>
    <t>MA23331</t>
  </si>
  <si>
    <t>EC19443</t>
  </si>
  <si>
    <t>EC19351</t>
  </si>
  <si>
    <t>MECH (ARR)</t>
  </si>
  <si>
    <t>AUTO  (ARR)</t>
  </si>
  <si>
    <t>EC19P52</t>
  </si>
  <si>
    <t>EE19P72</t>
  </si>
  <si>
    <t>BA23P21</t>
  </si>
  <si>
    <t>CS19301</t>
  </si>
  <si>
    <t>CSE ( ARR )</t>
  </si>
  <si>
    <t>EC19P53</t>
  </si>
  <si>
    <t>OAI1902</t>
  </si>
  <si>
    <t>BA19P25</t>
  </si>
  <si>
    <t>GE17152</t>
  </si>
  <si>
    <t>I - 11</t>
  </si>
  <si>
    <t>I - 3</t>
  </si>
  <si>
    <t>I - 4</t>
  </si>
  <si>
    <t>I - 12</t>
  </si>
  <si>
    <t>I - 13</t>
  </si>
  <si>
    <t>V - 03</t>
  </si>
  <si>
    <t>V - 01 &amp; V -02</t>
  </si>
  <si>
    <t>Hall No.</t>
  </si>
  <si>
    <t>DEPT</t>
  </si>
  <si>
    <t>Subject Code</t>
  </si>
  <si>
    <r>
      <rPr>
        <b/>
        <sz val="16"/>
        <color rgb="FF000000"/>
        <rFont val="Times New Roman"/>
        <family val="1"/>
      </rPr>
      <t>A</t>
    </r>
    <r>
      <rPr>
        <b/>
        <sz val="12"/>
        <color rgb="FF000000"/>
        <rFont val="Times New Roman"/>
        <family val="1"/>
      </rPr>
      <t xml:space="preserve"> - ADMIN BLOCK;   </t>
    </r>
    <r>
      <rPr>
        <b/>
        <sz val="16"/>
        <color rgb="FF000000"/>
        <rFont val="Times New Roman"/>
        <family val="1"/>
      </rPr>
      <t>B</t>
    </r>
    <r>
      <rPr>
        <b/>
        <sz val="12"/>
        <color rgb="FF000000"/>
        <rFont val="Times New Roman"/>
        <family val="1"/>
      </rPr>
      <t xml:space="preserve"> - WORKSHOP BLOCK;   </t>
    </r>
    <r>
      <rPr>
        <b/>
        <sz val="16"/>
        <color rgb="FF000000"/>
        <rFont val="Times New Roman"/>
        <family val="1"/>
      </rPr>
      <t xml:space="preserve">C </t>
    </r>
    <r>
      <rPr>
        <b/>
        <sz val="12"/>
        <color rgb="FF000000"/>
        <rFont val="Times New Roman"/>
        <family val="1"/>
      </rPr>
      <t xml:space="preserve">- AERO BLOCK;   </t>
    </r>
    <r>
      <rPr>
        <b/>
        <sz val="16"/>
        <color rgb="FF000000"/>
        <rFont val="Times New Roman"/>
        <family val="1"/>
      </rPr>
      <t>D</t>
    </r>
    <r>
      <rPr>
        <b/>
        <sz val="12"/>
        <color rgb="FF000000"/>
        <rFont val="Times New Roman"/>
        <family val="1"/>
      </rPr>
      <t xml:space="preserve"> - ACADEMIC BLOCK;   </t>
    </r>
    <r>
      <rPr>
        <b/>
        <sz val="16"/>
        <color rgb="FF000000"/>
        <rFont val="Times New Roman"/>
        <family val="1"/>
      </rPr>
      <t>I, IV &amp; V</t>
    </r>
    <r>
      <rPr>
        <b/>
        <sz val="12"/>
        <color rgb="FF000000"/>
        <rFont val="Times New Roman"/>
        <family val="1"/>
      </rPr>
      <t xml:space="preserve"> - TIFAC CORE  BLOCK</t>
    </r>
  </si>
  <si>
    <t xml:space="preserve">    TIME : FN - 09.30 AM TO 12.30 PM</t>
  </si>
  <si>
    <t xml:space="preserve">    TIME : AN - 01.30 PM TO 04.30 PM</t>
  </si>
  <si>
    <t>EVEN SEM (AY 2025-2026) - MAY/JUNE</t>
  </si>
  <si>
    <t>EE23133</t>
  </si>
  <si>
    <t>CHEM</t>
  </si>
  <si>
    <t>CSE-CS</t>
  </si>
  <si>
    <t>AI&amp;ML</t>
  </si>
  <si>
    <t>AI&amp;DS</t>
  </si>
  <si>
    <t>EE23132</t>
  </si>
  <si>
    <t>R&amp;A</t>
  </si>
  <si>
    <t>BA23216</t>
  </si>
  <si>
    <t>BT23211</t>
  </si>
  <si>
    <t>DEG</t>
  </si>
  <si>
    <t>UG</t>
  </si>
  <si>
    <t>PG</t>
  </si>
  <si>
    <t>BY23215</t>
  </si>
  <si>
    <t>CU23C12</t>
  </si>
  <si>
    <t>CS</t>
  </si>
  <si>
    <t>DS24B14</t>
  </si>
  <si>
    <t>DS</t>
  </si>
  <si>
    <t>ED23211</t>
  </si>
  <si>
    <t>ED</t>
  </si>
  <si>
    <t>ET23C12</t>
  </si>
  <si>
    <t>EST</t>
  </si>
  <si>
    <t>EE23212</t>
  </si>
  <si>
    <t>MX23212</t>
  </si>
  <si>
    <t>MED. ELE</t>
  </si>
  <si>
    <t xml:space="preserve">DATE: 22.06.2026  </t>
  </si>
  <si>
    <t>UG/PG/MBA- Regulation 2023  - END SEM - HALL PLAN</t>
  </si>
  <si>
    <t>EC23232</t>
  </si>
  <si>
    <t>MA23214</t>
  </si>
  <si>
    <t>AVIONICS</t>
  </si>
  <si>
    <t>BA23P16</t>
  </si>
  <si>
    <t>BM23231</t>
  </si>
  <si>
    <t>EC23242</t>
  </si>
  <si>
    <t>MT23131</t>
  </si>
  <si>
    <t>2116230101003, 008, 024, 027, 036, 050, 052, 056, 057 &amp; 703</t>
  </si>
  <si>
    <t>2116240101003, 006, 010, 011, 012, 021 &amp; 028</t>
  </si>
  <si>
    <t>2116240101036, 039, 043, 050, 057, 058, 059 &amp; 061</t>
  </si>
  <si>
    <t>2116231801014, 036, 041, 053, 054, 067, 069, 073, 074, 078, 103, 107, 110, 111, 120, 124, 126, 131, 141, 154, 166, 168 &amp; 185</t>
  </si>
  <si>
    <t>2116241801023, 028, 036, 037, 041, 054, 079, 084, 086, 088, 099, 102, 107, 109, 115, 116, 120, 124, 132, 136, 140, 146, 155, 177, 178, 187 &amp; 199</t>
  </si>
  <si>
    <t>2116241801202-205, 206, 208 &amp; 209</t>
  </si>
  <si>
    <t>2116241801215, 220, 226, 230, 232, 233, 234, 240, 243, 257, 259, 260, 262, 270, 280, 284, 289, 295, 303, 306, 307, 316 &amp; 329</t>
  </si>
  <si>
    <t>2116241501001, 003, 007, 019, 028, 030, 038, 054, 061, 065, 068, 070, 077, 082, 085, 088, 094, 101, 102, 105, 116, 117, 139, 140, 145, 146, 150, 152, 162 &amp; 164</t>
  </si>
  <si>
    <t>2116241501167, 168, 169, 179, 180, 182, 183, 185, 186, 202, 229, 239, 240, 245, 251, 252 &amp; 255</t>
  </si>
  <si>
    <t>2116231501001, 022, 023, 024, 036, 050, 052, 067, 070, 071, 078, 084, 092, 101, 102, 252, 255, 101 &amp; 102</t>
  </si>
  <si>
    <t>2116231501106, 115, 121, 123, 124, 141, 143, 147, 158, 159, 161, 162 &amp; 166</t>
  </si>
  <si>
    <t>2116231501174 &amp; 184</t>
  </si>
  <si>
    <t>2116231701002, 003, 005, 008, 018, 019, 020, 024, 028, 035, 038, 051, 054, 055 &amp; 061</t>
  </si>
  <si>
    <t>2116241701007, 008, 012, 015, 026, 032, 037, 038, 040, 041, 043, 044, 061 &amp; 065</t>
  </si>
  <si>
    <t>2116230701005, 007, 010, 023, 050, 054, 057, 070, 084, 104, 113, 172, 205, 220, 228, 232, 241, 242, 243, 253, 268, 273, 309, 336, 344, 346, 353 &amp; 382</t>
  </si>
  <si>
    <t>2116240701004, 040, 063, 064, 065, 073, 074, 099, 104, 124, 125, 126, 127, 139, 148, 150, 152, 163, 170, 175, 183 &amp; 186</t>
  </si>
  <si>
    <t>2116240701187, 192, 207, 213, 233, 242, 260, 264, 266, 270, 273, 274, 277, 311, 315, 334, 352, 359, 360, 370, 397, 411, 416, 417, 429, 431, 437, 441, 447 &amp; 454</t>
  </si>
  <si>
    <t>2116240701455, 466, 474, 478, 483, 485, 490, 494, 497, 513, 515, 568, 586, 597 &amp; 613</t>
  </si>
  <si>
    <t>2116240701619 &amp; 623</t>
  </si>
  <si>
    <t>2116241901007, 009, 010, 012, 022, 028, 029, 030, 036, 037, 038, 042, 043, 050 &amp; 056</t>
  </si>
  <si>
    <t>2116241901061, 075, 092, 095, 096, 098, 100, 104, 112, 121, 127 &amp; 130</t>
  </si>
  <si>
    <t>2116231901003 &amp; 056</t>
  </si>
  <si>
    <t>2116230301036, 052, 081 &amp; 113</t>
  </si>
  <si>
    <t>2116240301025, 038, 046, 059, 076, 111, 121, 122 &amp; 701</t>
  </si>
  <si>
    <t>2116241401002, 006, 018, 040, 042, 051, 089 &amp; 116</t>
  </si>
  <si>
    <t>2116231201024 &amp; 027</t>
  </si>
  <si>
    <t>2116241201003, 006, 036, 044 &amp; 052</t>
  </si>
  <si>
    <t>2116245111066, 133 &amp; 162</t>
  </si>
  <si>
    <t>2116230101003, 024, 052, 056 &amp; 057</t>
  </si>
  <si>
    <t>2116240101011, 018, 036, 049, 057, 058 &amp; 061</t>
  </si>
  <si>
    <t>2116250101003, 007, 027, 034, 048, 054, 055, 059, 060 &amp; 061</t>
  </si>
  <si>
    <t>2116231801006, 014, 035, 036, 054, 073, 085, 103, 111 &amp; 141</t>
  </si>
  <si>
    <t>2116231801168 &amp; 185</t>
  </si>
  <si>
    <t>2116241801001, 008, 027, 037, 041, 054, 068, 069, 102, 115, 124, 132, 136, 146, 152, 158, 177, 178, 199, 202, 204, 205, 206, 208, 209, 213, 226, 230, 233 &amp; 240</t>
  </si>
  <si>
    <t>2116241801250, 257, 259, 270, 276, 280, 284, 289, 303, 305, 306, 307, 316 &amp; 329</t>
  </si>
  <si>
    <t>2116251801009, 012, 027, 042, 052, 055, 072, 074, 080, 081, 082, 085, 086, 089, 092, 095, 102, 104, 106 &amp; 107</t>
  </si>
  <si>
    <t>2116251801121, 125, 126, 131, 137, 139, 150, 159, 170, 176, 199, 204, 207, 219, 229, 232, 239, 245, 252, 262, 268, 273, 276, 304, 308, 317, 319, 320, 321 &amp; 329</t>
  </si>
  <si>
    <t>2116251801338, 348 &amp; 356</t>
  </si>
  <si>
    <t>2116251801360, 366, 367, 377, 385, 390, 391 &amp; 393</t>
  </si>
  <si>
    <t>2116251501002, 010, 011, 014, 020, 024, 027, 028, 034, 038, 055, 060, 083, 104, 108, 111, 128, 159, 161, 164, 166, 181, 191, 196, 198, 202, 224, 229, 232 &amp; 245</t>
  </si>
  <si>
    <t>2116241501003, 028, 038, 041, 054, 061, 065, 070, 077, 081, 094, 145, 146, 147, 150, 164, 166, 169, 180, 185, 239, 240, 242, 252, 259 &amp; 260</t>
  </si>
  <si>
    <t>2116231501036, 106, 121, 147, 162, 174 &amp; 184</t>
  </si>
  <si>
    <t>2116230201010 &amp; 013</t>
  </si>
  <si>
    <t>2116240201011 &amp; 701</t>
  </si>
  <si>
    <t>2116230601017, 037, 049, 051, 061 &amp; 062</t>
  </si>
  <si>
    <t>2116240601013, 014, 016, 019, 020, 022, 031, 037, 039, 050, 051, 052, 053, 057 &amp; 060</t>
  </si>
  <si>
    <t>2116230701007, 010, 046, 050, 057, 104, 113, 205, 228, 230, 232, 241, 242, 243, 253, 268, 269, 273, 309, 336, 344, 346, 353, 358 &amp; 382</t>
  </si>
  <si>
    <t>2116240701040, 063, 104, 125, 126, 139, 152, 163, 175, 186, 242, 255, 264, 311, 315, 359, 360, 370, 397, 416, 431, 441, 454, 469, 474, 483, 484, 485, 490 &amp; 523</t>
  </si>
  <si>
    <t>2116240701547, 586, 597, 619, 623 &amp; 624</t>
  </si>
  <si>
    <t>2116250701003, 010, 012, 050, 064, 069, 077, 078, 081, 085, 086, 087, 088, 089, 091, 094, 096, 102, 104, 107, 108, 118, 154, 159, 164, 182, 188, 190, 191 &amp; 196</t>
  </si>
  <si>
    <t>2116250701199, 201, 205, 216, 225, 226, 230, 236, 243, 247, 249, 252, 255, 263, 266, 271, 301, 302, 304, 306, 313, 323, 326, 328, 329, 332, 355, 365, 368 &amp; 393</t>
  </si>
  <si>
    <t>2116250701397, 425, 426, 427, 428, 430, 438, 440, 447, 454, 459, 462, 467, 471, 473, 489, 513, 515, 521, 532, 533, 536, 537, 570, 572, 598, 621, 635, 638 &amp; 640</t>
  </si>
  <si>
    <t>2116250701651, 672, 677, 678, 679, 683, 686, 694, 695, 700, 709, 714, 722, 725, 729, 731, 732, 738, 742, 752, 777, 779, 784, 788, 792, 793, 814, 824, 828 &amp; 829</t>
  </si>
  <si>
    <t>2116250701833, 836, 840, 848, 850, 853, 860, 872, 876, 878 &amp; 880</t>
  </si>
  <si>
    <t>2116251901010, 024, 029, 033, 035, 037, 046, 050, 066, 067, 096, 099, 117, 118, 130, 154, 158, 164, 189 &amp; 194</t>
  </si>
  <si>
    <t>2116241901012, 022, 029, 033, 038, 050, 061, 095, 096 &amp; 098</t>
  </si>
  <si>
    <t>2116241901104, 105, 112, 121 &amp; 130</t>
  </si>
  <si>
    <t>2116230501010, 024 &amp; 032</t>
  </si>
  <si>
    <t>2116231301018, 021, 022, 025 &amp; 044</t>
  </si>
  <si>
    <t>2116241301009, 012, 027, 031 &amp; 047</t>
  </si>
  <si>
    <t>2116241301056 &amp; 063</t>
  </si>
  <si>
    <t>2116231001017, 027, 035, 053, 064, 089, 122, 128, 161, 162, 233 &amp; 901</t>
  </si>
  <si>
    <t>2116241001002, 012, 021, 022, 031, 033, 035, 061, 062, 067, 082, 085, 087, 100, 107, 110, 118, 119, 123, 128, 157, 173, 175, 177, 180, 183, 186, 202, 205 &amp; 238</t>
  </si>
  <si>
    <t>2116241001251, 261, 270, 276, 281, 293 &amp; 300</t>
  </si>
  <si>
    <t>2116251001023, 024, 047, 050, 051, 061, 068, 070, 072, 076, 086, 095, 101, 116, 117, 125, 127, 132, 135, 141, 144, 147, 148, 165, 166, 168, 172, 176, 185 &amp; 190</t>
  </si>
  <si>
    <t>2116251001192, 194, 196, 197, 211, 218, 221, 225, 226, 235, 247, 252, 253, 267, 272, 281, 308, 312, 316, 322 &amp; 323</t>
  </si>
  <si>
    <t>2116230801006, 009 &amp; 129</t>
  </si>
  <si>
    <t>2116230801168, 203, 215, 218, 221, 232 &amp; 250</t>
  </si>
  <si>
    <t>2116240801009, 014, 039, 048, 051, 077 &amp; 083</t>
  </si>
  <si>
    <t>2116240801087, 096, 103, 119, 140, 143, 170, 176, 197, 212, 242, 253, 259, 260, 267, 268, 273, 277, 278, 291, 305, 311, 368, 380, 381, 387 &amp; 391</t>
  </si>
  <si>
    <t>2116231101026, 037, 041, 044, 058, 071, 105, 113 &amp; 117</t>
  </si>
  <si>
    <t>2116241101001, 002, 004, 006, 013, 014, 026, 028, 045, 047, 048, 052, 053, 054, 063, 068, 069, 070, 073, 074, 086, 097, 107, 701, 381, 387, 391, 176, 185 &amp; 190</t>
  </si>
  <si>
    <t>2116231201018, 027 &amp; 031</t>
  </si>
  <si>
    <t>2116241201003, 014, 036, 037, 044 &amp; 052</t>
  </si>
  <si>
    <t>2116251201011, 019, 030, 046, 055, 061, 081, 084, 094, 102, 104, 107, 125 &amp; 128</t>
  </si>
  <si>
    <t>2116251601001, 003, 004, 007, 008, 011, 014, 021, 022, 023, 029, 030, 038, 039, 041, 047, 048, 049, 054, 056, 059 &amp; 061</t>
  </si>
  <si>
    <t>2116231601020 &amp; 045</t>
  </si>
  <si>
    <t>2116241601017, 018, 019, 021, 023 &amp; 024</t>
  </si>
  <si>
    <t>2116241601036, 038, 049, 053, 058, 061 &amp; 063</t>
  </si>
  <si>
    <t>2116230901001, 007, 009, 010, 029, 051, 054, 060, 062, 083, 087, 093, 101, 112, 117, 121, 123 &amp; 126</t>
  </si>
  <si>
    <t>2116240901014, 016, 017, 020, 022, 028, 060, 069 &amp; 071</t>
  </si>
  <si>
    <t>2116240901074, 075, 115 &amp; 121</t>
  </si>
  <si>
    <t>2116230401045, 049, 051, 095, 105, 116, 117, 124, 134, 136, 145, 147, 148, 150, 152, 155, 160, 164 &amp; 173</t>
  </si>
  <si>
    <t>2116230401177, 179, 180 &amp; 185</t>
  </si>
  <si>
    <t>2116240401002, 028, 044, 053, 055, 057, 065, 068, 074, 088, 096, 109, 112, 113, 119, 127, 136, 141, 150, 168, 173, 174, 175 &amp; 701</t>
  </si>
  <si>
    <t>2116245111123</t>
  </si>
  <si>
    <t>Ph.D</t>
  </si>
  <si>
    <t>D109</t>
  </si>
  <si>
    <t>D110</t>
  </si>
  <si>
    <t>D111</t>
  </si>
  <si>
    <t>D202</t>
  </si>
  <si>
    <t>D203</t>
  </si>
  <si>
    <t>D204</t>
  </si>
  <si>
    <t>D205</t>
  </si>
  <si>
    <t>D209</t>
  </si>
  <si>
    <t>D210</t>
  </si>
  <si>
    <t>D211</t>
  </si>
  <si>
    <t>D302</t>
  </si>
  <si>
    <t>D305</t>
  </si>
  <si>
    <t>D309</t>
  </si>
  <si>
    <t>D310</t>
  </si>
  <si>
    <t>D311</t>
  </si>
  <si>
    <t>D402</t>
  </si>
  <si>
    <t>D405</t>
  </si>
  <si>
    <t>D409</t>
  </si>
  <si>
    <t>D410</t>
  </si>
  <si>
    <t>D411</t>
  </si>
  <si>
    <t>D510</t>
  </si>
  <si>
    <t>D511</t>
  </si>
  <si>
    <t>D512</t>
  </si>
  <si>
    <t>D610</t>
  </si>
  <si>
    <t>D611</t>
  </si>
  <si>
    <t>D612</t>
  </si>
  <si>
    <t>D702</t>
  </si>
  <si>
    <t>D703</t>
  </si>
  <si>
    <t>D704</t>
  </si>
  <si>
    <t>D705</t>
  </si>
  <si>
    <t>D709</t>
  </si>
  <si>
    <t>D710</t>
  </si>
  <si>
    <t>D711</t>
  </si>
  <si>
    <t>D304</t>
  </si>
  <si>
    <t>D804</t>
  </si>
  <si>
    <t>D805</t>
  </si>
  <si>
    <t>D806</t>
  </si>
  <si>
    <t>D807</t>
  </si>
  <si>
    <t>D811</t>
  </si>
  <si>
    <t>D812</t>
  </si>
  <si>
    <t>D813</t>
  </si>
  <si>
    <t>D814</t>
  </si>
  <si>
    <t>C101</t>
  </si>
  <si>
    <t>C102</t>
  </si>
  <si>
    <t>C103</t>
  </si>
  <si>
    <t>C201</t>
  </si>
  <si>
    <t>C202</t>
  </si>
  <si>
    <t>C301</t>
  </si>
  <si>
    <t>C302</t>
  </si>
  <si>
    <t>C307</t>
  </si>
  <si>
    <t>C308</t>
  </si>
  <si>
    <t>D403</t>
  </si>
  <si>
    <t>2116250701001-030</t>
  </si>
  <si>
    <t>2116251501031-060</t>
  </si>
  <si>
    <t>2116250701061-090</t>
  </si>
  <si>
    <t>2116251501061-090</t>
  </si>
  <si>
    <t>2116250701091-120</t>
  </si>
  <si>
    <t>2116251501091-120</t>
  </si>
  <si>
    <t>2116250701121-150</t>
  </si>
  <si>
    <t>2116251501151-180</t>
  </si>
  <si>
    <t>2116250701181-210</t>
  </si>
  <si>
    <t>2116250701211-240</t>
  </si>
  <si>
    <t>2116250701241-270</t>
  </si>
  <si>
    <t>2116251501242-256</t>
  </si>
  <si>
    <t>2116250701271-300</t>
  </si>
  <si>
    <t>2116250701331-360</t>
  </si>
  <si>
    <t>2116240111002</t>
  </si>
  <si>
    <t>2116250701361-390</t>
  </si>
  <si>
    <t>2116251701001-003, 005-007 &amp; 008-032</t>
  </si>
  <si>
    <t>2116251701033-062</t>
  </si>
  <si>
    <t>2116250701421-450</t>
  </si>
  <si>
    <t>2116251701063-065</t>
  </si>
  <si>
    <t>2116251801001-030</t>
  </si>
  <si>
    <t>2116250701482-495, 497-501 &amp; 503-513</t>
  </si>
  <si>
    <t>2116251801031-060</t>
  </si>
  <si>
    <t>2116250701544-573</t>
  </si>
  <si>
    <t>2116250701574-603</t>
  </si>
  <si>
    <t>2116251801122-151</t>
  </si>
  <si>
    <t>2116251801182-200 &amp; 202-212</t>
  </si>
  <si>
    <t>2116250701667-696</t>
  </si>
  <si>
    <t>2116251801213-221 &amp; 223-243</t>
  </si>
  <si>
    <t>2116250701697-726</t>
  </si>
  <si>
    <t>2116251801244-266 &amp; 268-274</t>
  </si>
  <si>
    <t>2116250701727-756</t>
  </si>
  <si>
    <t>2116251801275-283 &amp; 285-305</t>
  </si>
  <si>
    <t>2116250701757 &amp; 759-787</t>
  </si>
  <si>
    <t>2116251801306-335</t>
  </si>
  <si>
    <t>2116250701788-809 &amp; 811-818</t>
  </si>
  <si>
    <t>2116251801336-365</t>
  </si>
  <si>
    <t>2116250701819-848</t>
  </si>
  <si>
    <t>2116250701849-865 &amp; 867-879</t>
  </si>
  <si>
    <t>2116250101031-060</t>
  </si>
  <si>
    <t>2116251901031-045</t>
  </si>
  <si>
    <t>2116250101061-065 &amp; 701</t>
  </si>
  <si>
    <t>2116250301116 &amp; 117</t>
  </si>
  <si>
    <t>2116251901001-030</t>
  </si>
  <si>
    <t>2116250301001-030</t>
  </si>
  <si>
    <t>2116251901046-072</t>
  </si>
  <si>
    <t>2116250301032-058</t>
  </si>
  <si>
    <t>2116251901073-091 &amp; 093-100</t>
  </si>
  <si>
    <t>2116251901101-127</t>
  </si>
  <si>
    <t>2116250301087, 088, 090-096 &amp; 098-115</t>
  </si>
  <si>
    <t>2116251901128-150 &amp; 152-155</t>
  </si>
  <si>
    <t>2116251201001-027</t>
  </si>
  <si>
    <t>2116251901156-182</t>
  </si>
  <si>
    <t>2116251401001-027</t>
  </si>
  <si>
    <t>2116251901183-194</t>
  </si>
  <si>
    <t>2116251401028-054</t>
  </si>
  <si>
    <t>2116251201111-128</t>
  </si>
  <si>
    <t>2116251401055-067, 069-079 &amp; 081-083</t>
  </si>
  <si>
    <t>2116251201028-030 &amp; 035-055</t>
  </si>
  <si>
    <t>2116251401084-110</t>
  </si>
  <si>
    <t>2116251201056-069 &amp; 071-083</t>
  </si>
  <si>
    <t>2116231401050</t>
  </si>
  <si>
    <t>2116251201084-110</t>
  </si>
  <si>
    <t>2116250201001-030</t>
  </si>
  <si>
    <t>2116255111001-030</t>
  </si>
  <si>
    <t>2116240501013</t>
  </si>
  <si>
    <t>2116255111031-060</t>
  </si>
  <si>
    <t>2116250501001-030</t>
  </si>
  <si>
    <t>2116255111061-090</t>
  </si>
  <si>
    <t>2116255111091-120</t>
  </si>
  <si>
    <t>2116255111121-150</t>
  </si>
  <si>
    <t>2116255111151-179 &amp; 181</t>
  </si>
  <si>
    <t>2116255111182-211</t>
  </si>
  <si>
    <t>2116250601031-047 &amp; 049-061</t>
  </si>
  <si>
    <t>2116250401182 &amp; 182</t>
  </si>
  <si>
    <t>2116255111242-247 &amp; 701</t>
  </si>
  <si>
    <t>2116250601062-064</t>
  </si>
  <si>
    <t>2116255111212-241</t>
  </si>
  <si>
    <t>2116250501062-065</t>
  </si>
  <si>
    <t>2116250401001-030</t>
  </si>
  <si>
    <t>2116250401031-060</t>
  </si>
  <si>
    <t>2116250401061-090</t>
  </si>
  <si>
    <t>2116250401091-120</t>
  </si>
  <si>
    <t>2116250401121-150</t>
  </si>
  <si>
    <t>2116250401151-158 &amp; 160-181</t>
  </si>
  <si>
    <t>2116251011001-018</t>
  </si>
  <si>
    <t>2116250801517-529</t>
  </si>
  <si>
    <t>2116250811001-005</t>
  </si>
  <si>
    <t>2116250411001 &amp; 003-022</t>
  </si>
  <si>
    <t>2116250311001-008</t>
  </si>
  <si>
    <t>2116250911001-007</t>
  </si>
  <si>
    <t>211626173991205</t>
  </si>
  <si>
    <t>2116251111001-005</t>
  </si>
  <si>
    <t>2116251101031-060</t>
  </si>
  <si>
    <t>2116251101061-071, 073-085 &amp; 087-092</t>
  </si>
  <si>
    <t>2116251101093-119</t>
  </si>
  <si>
    <t>2116250801001-027</t>
  </si>
  <si>
    <t>2116250801028-054</t>
  </si>
  <si>
    <t>2116250801055-081</t>
  </si>
  <si>
    <t>2116250801082-108</t>
  </si>
  <si>
    <t>2116250801109-135</t>
  </si>
  <si>
    <t>2116250801163-189</t>
  </si>
  <si>
    <t>2116250801190-216</t>
  </si>
  <si>
    <t>2116250801217-243</t>
  </si>
  <si>
    <t>2116250801244-270</t>
  </si>
  <si>
    <t>2116250801298-324</t>
  </si>
  <si>
    <t>2116250801325-332 &amp; 334-352</t>
  </si>
  <si>
    <t>2116250801380-406</t>
  </si>
  <si>
    <t>2116250801434-445, 447, 448, 450-462</t>
  </si>
  <si>
    <t>2116250801490-516</t>
  </si>
  <si>
    <t>2116250901001-027</t>
  </si>
  <si>
    <t>2116250901028-054</t>
  </si>
  <si>
    <t>2116250901055-081</t>
  </si>
  <si>
    <t>2116250901082-108</t>
  </si>
  <si>
    <t>2116250901109-126</t>
  </si>
  <si>
    <t>UG/PG - Regulation 2023  - END SEM - HALL PLAN</t>
  </si>
  <si>
    <t>2116250101001, 002 &amp; 004-030</t>
  </si>
  <si>
    <t xml:space="preserve">2116250201031-041, 044-049 </t>
  </si>
  <si>
    <t>2116250501031-038 &amp; 041-061</t>
  </si>
  <si>
    <t>2116250701031-048 &amp; 050-060</t>
  </si>
  <si>
    <t>2116250701151-163 &amp; 165-180</t>
  </si>
  <si>
    <t>2116250701301-325 &amp; 327-330</t>
  </si>
  <si>
    <t>2116250701451-467, 469-474 &amp; 476-481</t>
  </si>
  <si>
    <t>2116250701514-532 &amp; 534-543</t>
  </si>
  <si>
    <t>2116250701604-622 &amp; 624-634</t>
  </si>
  <si>
    <t>2116250801136-144 &amp; 146-162</t>
  </si>
  <si>
    <t>2116250801271-292 &amp; 294-297</t>
  </si>
  <si>
    <t>2116250801407-414 &amp; 416-433</t>
  </si>
  <si>
    <t>2116250801463-471 &amp; 473-489</t>
  </si>
  <si>
    <t>2116251101001-017 &amp; 019-030</t>
  </si>
  <si>
    <t>2116251101120-131</t>
  </si>
  <si>
    <t>2116251301032-040, 042-049 &amp; 051-060</t>
  </si>
  <si>
    <t>2116251501001-010 &amp; 012-030</t>
  </si>
  <si>
    <t>2116251501121-127 &amp; 129-150</t>
  </si>
  <si>
    <t>2116251501181-194 &amp; 196-210</t>
  </si>
  <si>
    <t>2116251501212-231 &amp; 233-241</t>
  </si>
  <si>
    <t>2116251801092-120</t>
  </si>
  <si>
    <t>2116251801366-375, 377-389 &amp; 391-395</t>
  </si>
  <si>
    <t>2116250301059, 060, 062-075, 077 &amp; 079-086</t>
  </si>
  <si>
    <t>2116250701391-396 &amp; 399-420</t>
  </si>
  <si>
    <t>2116250701636-648, 650-664 &amp; 666</t>
  </si>
  <si>
    <t>2116250701880-883 &amp; 903</t>
  </si>
  <si>
    <t>2116251401111, 112 &amp; 114-128</t>
  </si>
  <si>
    <t>2116250801353-361 &amp; 363-379</t>
  </si>
  <si>
    <t>2116250601001, 002 &amp; 004-023 &amp; 025-030</t>
  </si>
  <si>
    <t>2116251301004-012 &amp; 014-031</t>
  </si>
  <si>
    <t>2116251801061-076, 078, 079 &amp; 081-091</t>
  </si>
  <si>
    <t>2116251801152-158 &amp; 160-181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</si>
</sst>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b/>
      <sz val="18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4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142">
    <xf numFmtId="0" fontId="0" fillId="0" borderId="0" xfId="0"/>
    <xf numFmtId="0" fontId="2" fillId="2" borderId="4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7" fillId="0" borderId="0" xfId="1" applyFont="1"/>
    <xf numFmtId="0" fontId="4" fillId="0" borderId="1" xfId="0" applyFont="1" applyBorder="1" applyAlignment="1">
      <alignment horizontal="center" vertical="center" wrapText="1"/>
    </xf>
    <xf numFmtId="0" fontId="9" fillId="3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1" applyFont="1"/>
    <xf numFmtId="0" fontId="4" fillId="0" borderId="0" xfId="1" applyFont="1"/>
    <xf numFmtId="0" fontId="4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3" fillId="0" borderId="8" xfId="3" applyFont="1" applyBorder="1" applyAlignment="1">
      <alignment horizontal="center" vertical="center"/>
    </xf>
    <xf numFmtId="0" fontId="2" fillId="0" borderId="8" xfId="3" applyFont="1" applyBorder="1" applyAlignment="1">
      <alignment horizontal="center"/>
    </xf>
    <xf numFmtId="1" fontId="3" fillId="0" borderId="2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3" fillId="0" borderId="17" xfId="3" applyFont="1" applyBorder="1" applyAlignment="1">
      <alignment horizontal="center"/>
    </xf>
    <xf numFmtId="0" fontId="3" fillId="0" borderId="18" xfId="3" applyFont="1" applyBorder="1" applyAlignment="1">
      <alignment horizontal="center"/>
    </xf>
    <xf numFmtId="0" fontId="12" fillId="0" borderId="8" xfId="3" applyFont="1" applyBorder="1" applyAlignment="1">
      <alignment horizontal="center" vertical="center"/>
    </xf>
    <xf numFmtId="0" fontId="3" fillId="0" borderId="0" xfId="3" applyFont="1" applyAlignment="1">
      <alignment horizontal="center"/>
    </xf>
    <xf numFmtId="1" fontId="4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/>
    </xf>
    <xf numFmtId="0" fontId="18" fillId="3" borderId="2" xfId="1" applyFont="1" applyFill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3" fillId="0" borderId="8" xfId="3" applyFont="1" applyBorder="1" applyAlignment="1">
      <alignment horizontal="center"/>
    </xf>
    <xf numFmtId="0" fontId="17" fillId="5" borderId="1" xfId="0" applyFont="1" applyFill="1" applyBorder="1" applyAlignment="1">
      <alignment horizontal="center" vertical="center" wrapText="1"/>
    </xf>
    <xf numFmtId="0" fontId="19" fillId="4" borderId="1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3" fillId="2" borderId="25" xfId="1" applyFont="1" applyFill="1" applyBorder="1" applyAlignment="1">
      <alignment horizontal="center" vertical="center"/>
    </xf>
    <xf numFmtId="0" fontId="13" fillId="2" borderId="23" xfId="1" applyFont="1" applyFill="1" applyBorder="1" applyAlignment="1">
      <alignment horizontal="center" vertical="center" wrapText="1"/>
    </xf>
    <xf numFmtId="1" fontId="18" fillId="0" borderId="2" xfId="1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1" fontId="19" fillId="4" borderId="1" xfId="0" applyNumberFormat="1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1" fontId="19" fillId="4" borderId="1" xfId="0" applyNumberFormat="1" applyFont="1" applyFill="1" applyBorder="1" applyAlignment="1">
      <alignment horizontal="center" vertical="center" wrapText="1"/>
    </xf>
    <xf numFmtId="1" fontId="13" fillId="0" borderId="19" xfId="1" applyNumberFormat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1" fontId="18" fillId="0" borderId="19" xfId="1" applyNumberFormat="1" applyFont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 wrapText="1"/>
    </xf>
    <xf numFmtId="0" fontId="19" fillId="4" borderId="1" xfId="3" applyFont="1" applyFill="1" applyBorder="1" applyAlignment="1">
      <alignment horizontal="center" vertical="center"/>
    </xf>
    <xf numFmtId="1" fontId="13" fillId="4" borderId="1" xfId="1" applyNumberFormat="1" applyFont="1" applyFill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1" fontId="18" fillId="0" borderId="1" xfId="1" applyNumberFormat="1" applyFont="1" applyBorder="1" applyAlignment="1">
      <alignment horizontal="center" vertical="center"/>
    </xf>
    <xf numFmtId="0" fontId="13" fillId="0" borderId="2" xfId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0" fontId="13" fillId="4" borderId="1" xfId="1" applyFont="1" applyFill="1" applyBorder="1" applyAlignment="1">
      <alignment horizontal="center" vertical="center"/>
    </xf>
    <xf numFmtId="0" fontId="15" fillId="0" borderId="14" xfId="3" applyFont="1" applyBorder="1" applyAlignment="1">
      <alignment horizontal="right"/>
    </xf>
    <xf numFmtId="0" fontId="15" fillId="0" borderId="15" xfId="3" applyFont="1" applyBorder="1" applyAlignment="1">
      <alignment horizontal="right"/>
    </xf>
    <xf numFmtId="0" fontId="15" fillId="0" borderId="16" xfId="3" applyFont="1" applyBorder="1" applyAlignment="1">
      <alignment horizontal="right"/>
    </xf>
    <xf numFmtId="0" fontId="15" fillId="0" borderId="17" xfId="3" applyFont="1" applyBorder="1" applyAlignment="1">
      <alignment horizontal="right"/>
    </xf>
    <xf numFmtId="0" fontId="15" fillId="0" borderId="0" xfId="3" applyFont="1" applyAlignment="1">
      <alignment horizontal="right"/>
    </xf>
    <xf numFmtId="0" fontId="15" fillId="0" borderId="18" xfId="3" applyFont="1" applyBorder="1" applyAlignment="1">
      <alignment horizontal="right"/>
    </xf>
    <xf numFmtId="0" fontId="15" fillId="0" borderId="9" xfId="3" applyFont="1" applyBorder="1" applyAlignment="1">
      <alignment horizontal="right"/>
    </xf>
    <xf numFmtId="0" fontId="15" fillId="0" borderId="10" xfId="3" applyFont="1" applyBorder="1" applyAlignment="1">
      <alignment horizontal="right"/>
    </xf>
    <xf numFmtId="0" fontId="15" fillId="0" borderId="8" xfId="3" applyFont="1" applyBorder="1" applyAlignment="1">
      <alignment horizontal="right"/>
    </xf>
    <xf numFmtId="0" fontId="13" fillId="0" borderId="2" xfId="3" applyFont="1" applyBorder="1" applyAlignment="1">
      <alignment horizontal="center"/>
    </xf>
    <xf numFmtId="0" fontId="18" fillId="0" borderId="9" xfId="3" applyFont="1" applyBorder="1" applyAlignment="1">
      <alignment horizontal="center"/>
    </xf>
    <xf numFmtId="0" fontId="18" fillId="0" borderId="10" xfId="3" applyFont="1" applyBorder="1" applyAlignment="1">
      <alignment horizontal="center"/>
    </xf>
    <xf numFmtId="0" fontId="18" fillId="0" borderId="11" xfId="3" applyFont="1" applyBorder="1" applyAlignment="1">
      <alignment horizontal="center"/>
    </xf>
    <xf numFmtId="0" fontId="18" fillId="0" borderId="12" xfId="3" applyFont="1" applyBorder="1" applyAlignment="1">
      <alignment horizontal="center"/>
    </xf>
    <xf numFmtId="0" fontId="2" fillId="0" borderId="13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2" fillId="0" borderId="2" xfId="3" applyFont="1" applyBorder="1" applyAlignment="1">
      <alignment horizontal="center"/>
    </xf>
    <xf numFmtId="0" fontId="3" fillId="0" borderId="9" xfId="3" applyFont="1" applyBorder="1" applyAlignment="1">
      <alignment horizontal="center"/>
    </xf>
    <xf numFmtId="0" fontId="3" fillId="0" borderId="10" xfId="3" applyFont="1" applyBorder="1" applyAlignment="1">
      <alignment horizontal="center"/>
    </xf>
    <xf numFmtId="0" fontId="3" fillId="0" borderId="11" xfId="3" applyFont="1" applyBorder="1" applyAlignment="1">
      <alignment horizontal="center"/>
    </xf>
    <xf numFmtId="0" fontId="3" fillId="0" borderId="12" xfId="3" applyFont="1" applyBorder="1" applyAlignment="1">
      <alignment horizontal="center"/>
    </xf>
    <xf numFmtId="0" fontId="2" fillId="0" borderId="13" xfId="3" applyFont="1" applyBorder="1" applyAlignment="1">
      <alignment horizontal="left"/>
    </xf>
    <xf numFmtId="0" fontId="2" fillId="0" borderId="11" xfId="3" applyFont="1" applyBorder="1" applyAlignment="1">
      <alignment horizontal="left"/>
    </xf>
    <xf numFmtId="0" fontId="2" fillId="0" borderId="12" xfId="3" applyFont="1" applyBorder="1" applyAlignment="1">
      <alignment horizontal="left"/>
    </xf>
    <xf numFmtId="0" fontId="3" fillId="0" borderId="14" xfId="3" applyFont="1" applyBorder="1" applyAlignment="1">
      <alignment horizontal="center"/>
    </xf>
    <xf numFmtId="0" fontId="3" fillId="0" borderId="15" xfId="3" applyFont="1" applyBorder="1" applyAlignment="1">
      <alignment horizontal="center"/>
    </xf>
    <xf numFmtId="0" fontId="3" fillId="0" borderId="16" xfId="3" applyFont="1" applyBorder="1" applyAlignment="1">
      <alignment horizontal="center"/>
    </xf>
    <xf numFmtId="0" fontId="6" fillId="0" borderId="0" xfId="1" applyFont="1" applyAlignment="1">
      <alignment horizontal="center"/>
    </xf>
    <xf numFmtId="0" fontId="10" fillId="0" borderId="0" xfId="1" applyFont="1"/>
    <xf numFmtId="0" fontId="2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11" fillId="0" borderId="0" xfId="1" applyFont="1"/>
    <xf numFmtId="1" fontId="3" fillId="0" borderId="19" xfId="1" applyNumberFormat="1" applyFont="1" applyBorder="1" applyAlignment="1">
      <alignment horizontal="center" vertical="center"/>
    </xf>
    <xf numFmtId="1" fontId="3" fillId="0" borderId="20" xfId="1" applyNumberFormat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1" fontId="2" fillId="0" borderId="19" xfId="1" applyNumberFormat="1" applyFont="1" applyBorder="1" applyAlignment="1">
      <alignment horizontal="center" vertical="center"/>
    </xf>
    <xf numFmtId="1" fontId="2" fillId="0" borderId="20" xfId="1" applyNumberFormat="1" applyFont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  <xf numFmtId="0" fontId="2" fillId="0" borderId="7" xfId="3" applyFont="1" applyBorder="1" applyAlignment="1">
      <alignment horizontal="center"/>
    </xf>
    <xf numFmtId="0" fontId="2" fillId="0" borderId="21" xfId="3" applyFont="1" applyBorder="1" applyAlignment="1">
      <alignment horizontal="center"/>
    </xf>
    <xf numFmtId="0" fontId="2" fillId="0" borderId="22" xfId="3" applyFont="1" applyBorder="1" applyAlignment="1">
      <alignment horizontal="center"/>
    </xf>
    <xf numFmtId="1" fontId="18" fillId="4" borderId="1" xfId="1" applyNumberFormat="1" applyFont="1" applyFill="1" applyBorder="1" applyAlignment="1">
      <alignment horizontal="center" vertical="center"/>
    </xf>
    <xf numFmtId="1" fontId="18" fillId="4" borderId="2" xfId="1" applyNumberFormat="1" applyFont="1" applyFill="1" applyBorder="1" applyAlignment="1">
      <alignment horizontal="center" vertical="center"/>
    </xf>
    <xf numFmtId="1" fontId="13" fillId="0" borderId="19" xfId="1" applyNumberFormat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1" fontId="18" fillId="0" borderId="19" xfId="1" applyNumberFormat="1" applyFont="1" applyBorder="1" applyAlignment="1">
      <alignment horizontal="center" vertical="center"/>
    </xf>
    <xf numFmtId="1" fontId="18" fillId="0" borderId="20" xfId="1" applyNumberFormat="1" applyFont="1" applyBorder="1" applyAlignment="1">
      <alignment horizontal="center" vertical="center"/>
    </xf>
    <xf numFmtId="0" fontId="18" fillId="4" borderId="1" xfId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 wrapText="1"/>
    </xf>
    <xf numFmtId="0" fontId="19" fillId="4" borderId="1" xfId="4" applyFont="1" applyFill="1" applyBorder="1" applyAlignment="1">
      <alignment horizontal="center" vertical="center" wrapText="1"/>
    </xf>
    <xf numFmtId="0" fontId="19" fillId="4" borderId="1" xfId="4" applyFont="1" applyFill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4" xfId="4" xr:uid="{00000000-0005-0000-0000-00000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FF"/>
      <color rgb="FFFF7C80"/>
      <color rgb="FF18D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9665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31572</xdr:colOff>
      <xdr:row>0</xdr:row>
      <xdr:rowOff>32656</xdr:rowOff>
    </xdr:from>
    <xdr:to>
      <xdr:col>1</xdr:col>
      <xdr:colOff>907968</xdr:colOff>
      <xdr:row>4</xdr:row>
      <xdr:rowOff>1884</xdr:rowOff>
    </xdr:to>
    <xdr:pic>
      <xdr:nvPicPr>
        <xdr:cNvPr id="5" name="Picture 4" descr="Home | Rajalakshmi Engineering College (REC)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3" r="67063"/>
        <a:stretch/>
      </xdr:blipFill>
      <xdr:spPr bwMode="auto">
        <a:xfrm>
          <a:off x="457929" y="32656"/>
          <a:ext cx="876396" cy="935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31572</xdr:colOff>
      <xdr:row>0</xdr:row>
      <xdr:rowOff>32656</xdr:rowOff>
    </xdr:from>
    <xdr:to>
      <xdr:col>1</xdr:col>
      <xdr:colOff>907968</xdr:colOff>
      <xdr:row>4</xdr:row>
      <xdr:rowOff>1884</xdr:rowOff>
    </xdr:to>
    <xdr:pic>
      <xdr:nvPicPr>
        <xdr:cNvPr id="2" name="Picture 1" descr="Home | Rajalakshmi Engineering College (REC)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3" r="67063"/>
        <a:stretch/>
      </xdr:blipFill>
      <xdr:spPr bwMode="auto">
        <a:xfrm>
          <a:off x="457022" y="32656"/>
          <a:ext cx="871860" cy="940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31572</xdr:colOff>
      <xdr:row>0</xdr:row>
      <xdr:rowOff>32656</xdr:rowOff>
    </xdr:from>
    <xdr:to>
      <xdr:col>1</xdr:col>
      <xdr:colOff>907968</xdr:colOff>
      <xdr:row>4</xdr:row>
      <xdr:rowOff>1884</xdr:rowOff>
    </xdr:to>
    <xdr:pic>
      <xdr:nvPicPr>
        <xdr:cNvPr id="3" name="Picture 2" descr="Home | Rajalakshmi Engineering College (REC)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3" r="67063"/>
        <a:stretch/>
      </xdr:blipFill>
      <xdr:spPr bwMode="auto">
        <a:xfrm>
          <a:off x="457022" y="32656"/>
          <a:ext cx="876396" cy="940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139065</xdr:colOff>
      <xdr:row>0</xdr:row>
      <xdr:rowOff>102870</xdr:rowOff>
    </xdr:from>
    <xdr:ext cx="781050" cy="714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1090" y="102870"/>
          <a:ext cx="781050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  <outlinePr summaryBelow="0" summaryRight="0"/>
  </sheetPr>
  <dimension ref="A1:Y623"/>
  <sheetViews>
    <sheetView zoomScale="85" zoomScaleNormal="85" workbookViewId="0">
      <pane ySplit="6" topLeftCell="A49" activePane="bottomLeft" state="frozen"/>
      <selection activeCell="I66" sqref="I66"/>
      <selection pane="bottomLeft" activeCell="I66" sqref="I66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41.664062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25</v>
      </c>
      <c r="B4" s="115"/>
      <c r="C4" s="116"/>
      <c r="D4" s="116"/>
      <c r="E4" s="116"/>
      <c r="F4" s="116"/>
      <c r="G4" s="116"/>
      <c r="H4" s="11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71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20</v>
      </c>
      <c r="C8" s="6" t="s">
        <v>22</v>
      </c>
      <c r="D8" s="10" t="s">
        <v>23</v>
      </c>
      <c r="E8" s="8" t="s">
        <v>246</v>
      </c>
      <c r="F8" s="16">
        <v>14</v>
      </c>
      <c r="G8" s="99">
        <f>SUM(F8:F9)</f>
        <v>27</v>
      </c>
      <c r="H8" s="100" t="s">
        <v>499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31.2" x14ac:dyDescent="0.25">
      <c r="A9" s="98"/>
      <c r="B9" s="9" t="s">
        <v>20</v>
      </c>
      <c r="C9" s="6" t="s">
        <v>26</v>
      </c>
      <c r="D9" s="10" t="s">
        <v>27</v>
      </c>
      <c r="E9" s="8" t="s">
        <v>257</v>
      </c>
      <c r="F9" s="16">
        <v>13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20</v>
      </c>
      <c r="C10" s="6" t="s">
        <v>22</v>
      </c>
      <c r="D10" s="10" t="s">
        <v>23</v>
      </c>
      <c r="E10" s="8" t="s">
        <v>248</v>
      </c>
      <c r="F10" s="16">
        <v>14</v>
      </c>
      <c r="G10" s="99">
        <f>SUM(F10:F11)</f>
        <v>27</v>
      </c>
      <c r="H10" s="100" t="s">
        <v>500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 t="s">
        <v>20</v>
      </c>
      <c r="C11" s="6" t="s">
        <v>26</v>
      </c>
      <c r="D11" s="10" t="s">
        <v>27</v>
      </c>
      <c r="E11" s="8" t="s">
        <v>258</v>
      </c>
      <c r="F11" s="16">
        <v>13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 t="s">
        <v>20</v>
      </c>
      <c r="C12" s="6" t="s">
        <v>22</v>
      </c>
      <c r="D12" s="10" t="s">
        <v>23</v>
      </c>
      <c r="E12" s="8" t="s">
        <v>249</v>
      </c>
      <c r="F12" s="16">
        <v>14</v>
      </c>
      <c r="G12" s="99">
        <f>SUM(F12:F13)</f>
        <v>27</v>
      </c>
      <c r="H12" s="100" t="s">
        <v>501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 t="s">
        <v>20</v>
      </c>
      <c r="C13" s="6" t="s">
        <v>26</v>
      </c>
      <c r="D13" s="10" t="s">
        <v>27</v>
      </c>
      <c r="E13" s="8" t="s">
        <v>259</v>
      </c>
      <c r="F13" s="16">
        <v>13</v>
      </c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 t="s">
        <v>20</v>
      </c>
      <c r="C14" s="6" t="s">
        <v>22</v>
      </c>
      <c r="D14" s="10" t="s">
        <v>23</v>
      </c>
      <c r="E14" s="8" t="s">
        <v>250</v>
      </c>
      <c r="F14" s="16">
        <v>14</v>
      </c>
      <c r="G14" s="99">
        <f>SUM(F14:F15)</f>
        <v>27</v>
      </c>
      <c r="H14" s="100" t="s">
        <v>502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 t="s">
        <v>20</v>
      </c>
      <c r="C15" s="6" t="s">
        <v>26</v>
      </c>
      <c r="D15" s="10" t="s">
        <v>27</v>
      </c>
      <c r="E15" s="8" t="s">
        <v>260</v>
      </c>
      <c r="F15" s="16">
        <v>13</v>
      </c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 t="s">
        <v>20</v>
      </c>
      <c r="C16" s="6" t="s">
        <v>22</v>
      </c>
      <c r="D16" s="10" t="s">
        <v>23</v>
      </c>
      <c r="E16" s="8" t="s">
        <v>251</v>
      </c>
      <c r="F16" s="16">
        <v>14</v>
      </c>
      <c r="G16" s="99">
        <f>SUM(F16:F18)</f>
        <v>27</v>
      </c>
      <c r="H16" s="100" t="s">
        <v>503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7"/>
      <c r="B17" s="9" t="s">
        <v>20</v>
      </c>
      <c r="C17" s="6" t="s">
        <v>12</v>
      </c>
      <c r="D17" s="10" t="s">
        <v>28</v>
      </c>
      <c r="E17" s="8" t="s">
        <v>263</v>
      </c>
      <c r="F17" s="16">
        <v>3</v>
      </c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8"/>
      <c r="B18" s="9" t="s">
        <v>20</v>
      </c>
      <c r="C18" s="6" t="s">
        <v>26</v>
      </c>
      <c r="D18" s="10" t="s">
        <v>27</v>
      </c>
      <c r="E18" s="8" t="s">
        <v>261</v>
      </c>
      <c r="F18" s="16">
        <v>10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7">
        <v>6</v>
      </c>
      <c r="B19" s="9" t="s">
        <v>20</v>
      </c>
      <c r="C19" s="6" t="s">
        <v>22</v>
      </c>
      <c r="D19" s="10" t="s">
        <v>23</v>
      </c>
      <c r="E19" s="8" t="s">
        <v>252</v>
      </c>
      <c r="F19" s="16">
        <v>14</v>
      </c>
      <c r="G19" s="99">
        <f>SUM(F19:F20)</f>
        <v>27</v>
      </c>
      <c r="H19" s="100" t="s">
        <v>504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8"/>
      <c r="B20" s="9" t="s">
        <v>20</v>
      </c>
      <c r="C20" s="6" t="s">
        <v>12</v>
      </c>
      <c r="D20" s="10" t="s">
        <v>28</v>
      </c>
      <c r="E20" s="8" t="s">
        <v>264</v>
      </c>
      <c r="F20" s="16">
        <v>13</v>
      </c>
      <c r="G20" s="99"/>
      <c r="H20" s="10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31.2" x14ac:dyDescent="0.25">
      <c r="A21" s="97">
        <v>7</v>
      </c>
      <c r="B21" s="9" t="s">
        <v>20</v>
      </c>
      <c r="C21" s="6" t="s">
        <v>22</v>
      </c>
      <c r="D21" s="10" t="s">
        <v>23</v>
      </c>
      <c r="E21" s="8" t="s">
        <v>253</v>
      </c>
      <c r="F21" s="16">
        <v>14</v>
      </c>
      <c r="G21" s="99">
        <f>SUM(F21:F22)</f>
        <v>27</v>
      </c>
      <c r="H21" s="100" t="s">
        <v>505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8"/>
      <c r="B22" s="9" t="s">
        <v>20</v>
      </c>
      <c r="C22" s="6" t="s">
        <v>12</v>
      </c>
      <c r="D22" s="10" t="s">
        <v>28</v>
      </c>
      <c r="E22" s="8" t="s">
        <v>265</v>
      </c>
      <c r="F22" s="16">
        <v>13</v>
      </c>
      <c r="G22" s="99"/>
      <c r="H22" s="10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62.4" x14ac:dyDescent="0.25">
      <c r="A23" s="97">
        <v>8</v>
      </c>
      <c r="B23" s="9" t="s">
        <v>20</v>
      </c>
      <c r="C23" s="6" t="s">
        <v>22</v>
      </c>
      <c r="D23" s="10" t="s">
        <v>23</v>
      </c>
      <c r="E23" s="8" t="s">
        <v>254</v>
      </c>
      <c r="F23" s="16">
        <v>14</v>
      </c>
      <c r="G23" s="99">
        <f>SUM(F23:F24)</f>
        <v>27</v>
      </c>
      <c r="H23" s="100" t="s">
        <v>506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8"/>
      <c r="B24" s="9" t="s">
        <v>20</v>
      </c>
      <c r="C24" s="6" t="s">
        <v>12</v>
      </c>
      <c r="D24" s="10" t="s">
        <v>28</v>
      </c>
      <c r="E24" s="8" t="s">
        <v>266</v>
      </c>
      <c r="F24" s="16">
        <v>13</v>
      </c>
      <c r="G24" s="99"/>
      <c r="H24" s="10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7">
        <v>9</v>
      </c>
      <c r="B25" s="9" t="s">
        <v>20</v>
      </c>
      <c r="C25" s="6" t="s">
        <v>22</v>
      </c>
      <c r="D25" s="10" t="s">
        <v>23</v>
      </c>
      <c r="E25" s="8" t="s">
        <v>255</v>
      </c>
      <c r="F25" s="16">
        <v>3</v>
      </c>
      <c r="G25" s="99">
        <f>SUM(F25:F27)</f>
        <v>27</v>
      </c>
      <c r="H25" s="100" t="s">
        <v>507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/>
      <c r="B26" s="9" t="s">
        <v>20</v>
      </c>
      <c r="C26" s="6" t="s">
        <v>11</v>
      </c>
      <c r="D26" s="10" t="s">
        <v>29</v>
      </c>
      <c r="E26" s="8" t="s">
        <v>290</v>
      </c>
      <c r="F26" s="16">
        <v>11</v>
      </c>
      <c r="G26" s="99"/>
      <c r="H26" s="10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 t="s">
        <v>20</v>
      </c>
      <c r="C27" s="6" t="s">
        <v>12</v>
      </c>
      <c r="D27" s="10" t="s">
        <v>28</v>
      </c>
      <c r="E27" s="8" t="s">
        <v>267</v>
      </c>
      <c r="F27" s="16">
        <v>13</v>
      </c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10</v>
      </c>
      <c r="B28" s="9" t="s">
        <v>20</v>
      </c>
      <c r="C28" s="6" t="s">
        <v>12</v>
      </c>
      <c r="D28" s="10" t="s">
        <v>28</v>
      </c>
      <c r="E28" s="8" t="s">
        <v>268</v>
      </c>
      <c r="F28" s="16">
        <v>5</v>
      </c>
      <c r="G28" s="99">
        <f>SUM(F28:F31)</f>
        <v>27</v>
      </c>
      <c r="H28" s="100" t="s">
        <v>508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7"/>
      <c r="B29" s="9" t="s">
        <v>32</v>
      </c>
      <c r="C29" s="6" t="s">
        <v>31</v>
      </c>
      <c r="D29" s="10" t="s">
        <v>30</v>
      </c>
      <c r="E29" s="8" t="s">
        <v>274</v>
      </c>
      <c r="F29" s="16">
        <v>4</v>
      </c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/>
      <c r="B30" s="9" t="s">
        <v>32</v>
      </c>
      <c r="C30" s="6" t="s">
        <v>33</v>
      </c>
      <c r="D30" s="10" t="s">
        <v>30</v>
      </c>
      <c r="E30" s="8" t="s">
        <v>275</v>
      </c>
      <c r="F30" s="16">
        <v>4</v>
      </c>
      <c r="G30" s="99"/>
      <c r="H30" s="10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 t="s">
        <v>20</v>
      </c>
      <c r="C31" s="6" t="s">
        <v>11</v>
      </c>
      <c r="D31" s="10" t="s">
        <v>29</v>
      </c>
      <c r="E31" s="8" t="s">
        <v>291</v>
      </c>
      <c r="F31" s="16">
        <v>14</v>
      </c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11</v>
      </c>
      <c r="B32" s="9" t="s">
        <v>20</v>
      </c>
      <c r="C32" s="6" t="s">
        <v>11</v>
      </c>
      <c r="D32" s="10" t="s">
        <v>29</v>
      </c>
      <c r="E32" s="8" t="s">
        <v>292</v>
      </c>
      <c r="F32" s="16">
        <v>14</v>
      </c>
      <c r="G32" s="99">
        <f>SUM(F32:F34)</f>
        <v>27</v>
      </c>
      <c r="H32" s="100" t="s">
        <v>509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46.8" x14ac:dyDescent="0.25">
      <c r="A33" s="97"/>
      <c r="B33" s="9" t="s">
        <v>32</v>
      </c>
      <c r="C33" s="6" t="s">
        <v>34</v>
      </c>
      <c r="D33" s="10" t="s">
        <v>30</v>
      </c>
      <c r="E33" s="8" t="s">
        <v>277</v>
      </c>
      <c r="F33" s="16">
        <v>7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31.2" x14ac:dyDescent="0.25">
      <c r="A34" s="98"/>
      <c r="B34" s="9" t="s">
        <v>32</v>
      </c>
      <c r="C34" s="6" t="s">
        <v>33</v>
      </c>
      <c r="D34" s="10" t="s">
        <v>30</v>
      </c>
      <c r="E34" s="8" t="s">
        <v>276</v>
      </c>
      <c r="F34" s="16">
        <v>6</v>
      </c>
      <c r="G34" s="99"/>
      <c r="H34" s="10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7">
        <v>12</v>
      </c>
      <c r="B35" s="9" t="s">
        <v>20</v>
      </c>
      <c r="C35" s="6" t="s">
        <v>11</v>
      </c>
      <c r="D35" s="10" t="s">
        <v>29</v>
      </c>
      <c r="E35" s="8" t="s">
        <v>293</v>
      </c>
      <c r="F35" s="16">
        <v>14</v>
      </c>
      <c r="G35" s="99">
        <f>SUM(F35:F37)</f>
        <v>27</v>
      </c>
      <c r="H35" s="100" t="s">
        <v>510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/>
      <c r="B36" s="9" t="s">
        <v>32</v>
      </c>
      <c r="C36" s="6" t="s">
        <v>34</v>
      </c>
      <c r="D36" s="10" t="s">
        <v>30</v>
      </c>
      <c r="E36" s="8" t="s">
        <v>278</v>
      </c>
      <c r="F36" s="16">
        <v>5</v>
      </c>
      <c r="G36" s="99"/>
      <c r="H36" s="100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46.8" x14ac:dyDescent="0.25">
      <c r="A37" s="98"/>
      <c r="B37" s="9" t="s">
        <v>32</v>
      </c>
      <c r="C37" s="6" t="s">
        <v>35</v>
      </c>
      <c r="D37" s="10" t="s">
        <v>30</v>
      </c>
      <c r="E37" s="8" t="s">
        <v>279</v>
      </c>
      <c r="F37" s="16">
        <v>8</v>
      </c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13</v>
      </c>
      <c r="B38" s="9" t="s">
        <v>20</v>
      </c>
      <c r="C38" s="6" t="s">
        <v>11</v>
      </c>
      <c r="D38" s="10" t="s">
        <v>29</v>
      </c>
      <c r="E38" s="8" t="s">
        <v>294</v>
      </c>
      <c r="F38" s="16">
        <v>3</v>
      </c>
      <c r="G38" s="99">
        <f>SUM(F38:F41)</f>
        <v>27</v>
      </c>
      <c r="H38" s="100" t="s">
        <v>511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46.8" x14ac:dyDescent="0.25">
      <c r="A39" s="97"/>
      <c r="B39" s="9" t="s">
        <v>32</v>
      </c>
      <c r="C39" s="6" t="s">
        <v>36</v>
      </c>
      <c r="D39" s="10" t="s">
        <v>30</v>
      </c>
      <c r="E39" s="8" t="s">
        <v>281</v>
      </c>
      <c r="F39" s="16">
        <v>9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/>
      <c r="B40" s="9" t="s">
        <v>20</v>
      </c>
      <c r="C40" s="6" t="s">
        <v>36</v>
      </c>
      <c r="D40" s="10" t="s">
        <v>37</v>
      </c>
      <c r="E40" s="8" t="s">
        <v>297</v>
      </c>
      <c r="F40" s="16">
        <v>10</v>
      </c>
      <c r="G40" s="99"/>
      <c r="H40" s="10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 t="s">
        <v>32</v>
      </c>
      <c r="C41" s="6" t="s">
        <v>35</v>
      </c>
      <c r="D41" s="10" t="s">
        <v>30</v>
      </c>
      <c r="E41" s="8" t="s">
        <v>280</v>
      </c>
      <c r="F41" s="16">
        <v>5</v>
      </c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31.2" x14ac:dyDescent="0.25">
      <c r="A42" s="97">
        <v>14</v>
      </c>
      <c r="B42" s="9" t="s">
        <v>32</v>
      </c>
      <c r="C42" s="6" t="s">
        <v>36</v>
      </c>
      <c r="D42" s="10" t="s">
        <v>30</v>
      </c>
      <c r="E42" s="8" t="s">
        <v>282</v>
      </c>
      <c r="F42" s="16">
        <v>2</v>
      </c>
      <c r="G42" s="99">
        <f>SUM(F42:F44)</f>
        <v>27</v>
      </c>
      <c r="H42" s="100" t="s">
        <v>512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46.8" x14ac:dyDescent="0.25">
      <c r="A43" s="97"/>
      <c r="B43" s="9" t="s">
        <v>32</v>
      </c>
      <c r="C43" s="6" t="s">
        <v>38</v>
      </c>
      <c r="D43" s="10" t="s">
        <v>39</v>
      </c>
      <c r="E43" s="8" t="s">
        <v>284</v>
      </c>
      <c r="F43" s="16">
        <v>11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8"/>
      <c r="B44" s="9" t="s">
        <v>20</v>
      </c>
      <c r="C44" s="6" t="s">
        <v>36</v>
      </c>
      <c r="D44" s="10" t="s">
        <v>37</v>
      </c>
      <c r="E44" s="8" t="s">
        <v>298</v>
      </c>
      <c r="F44" s="16">
        <v>14</v>
      </c>
      <c r="G44" s="99"/>
      <c r="H44" s="10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>
        <v>15</v>
      </c>
      <c r="B45" s="9" t="s">
        <v>20</v>
      </c>
      <c r="C45" s="6" t="s">
        <v>36</v>
      </c>
      <c r="D45" s="10" t="s">
        <v>37</v>
      </c>
      <c r="E45" s="8" t="s">
        <v>299</v>
      </c>
      <c r="F45" s="16">
        <v>14</v>
      </c>
      <c r="G45" s="99">
        <f>SUM(F45:F46)</f>
        <v>27</v>
      </c>
      <c r="H45" s="100" t="s">
        <v>513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62.4" x14ac:dyDescent="0.25">
      <c r="A46" s="98"/>
      <c r="B46" s="9" t="s">
        <v>32</v>
      </c>
      <c r="C46" s="6" t="s">
        <v>38</v>
      </c>
      <c r="D46" s="10" t="s">
        <v>39</v>
      </c>
      <c r="E46" s="8" t="s">
        <v>285</v>
      </c>
      <c r="F46" s="16">
        <v>13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16</v>
      </c>
      <c r="B47" s="9" t="s">
        <v>20</v>
      </c>
      <c r="C47" s="6" t="s">
        <v>36</v>
      </c>
      <c r="D47" s="10" t="s">
        <v>37</v>
      </c>
      <c r="E47" s="8" t="s">
        <v>300</v>
      </c>
      <c r="F47" s="16">
        <v>14</v>
      </c>
      <c r="G47" s="99">
        <f>SUM(F47:F48)</f>
        <v>27</v>
      </c>
      <c r="H47" s="100" t="s">
        <v>514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62.4" x14ac:dyDescent="0.25">
      <c r="A48" s="98"/>
      <c r="B48" s="9" t="s">
        <v>32</v>
      </c>
      <c r="C48" s="6" t="s">
        <v>38</v>
      </c>
      <c r="D48" s="10" t="s">
        <v>39</v>
      </c>
      <c r="E48" s="8" t="s">
        <v>286</v>
      </c>
      <c r="F48" s="16">
        <v>13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17</v>
      </c>
      <c r="B49" s="9" t="s">
        <v>20</v>
      </c>
      <c r="C49" s="6" t="s">
        <v>36</v>
      </c>
      <c r="D49" s="10" t="s">
        <v>37</v>
      </c>
      <c r="E49" s="8" t="s">
        <v>301</v>
      </c>
      <c r="F49" s="16">
        <v>3</v>
      </c>
      <c r="G49" s="99">
        <f>SUM(F49:F54)</f>
        <v>27</v>
      </c>
      <c r="H49" s="100" t="s">
        <v>515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/>
      <c r="B50" s="9" t="s">
        <v>32</v>
      </c>
      <c r="C50" s="6" t="s">
        <v>8</v>
      </c>
      <c r="D50" s="10" t="s">
        <v>40</v>
      </c>
      <c r="E50" s="8" t="s">
        <v>245</v>
      </c>
      <c r="F50" s="16">
        <v>4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/>
      <c r="B51" s="9" t="s">
        <v>32</v>
      </c>
      <c r="C51" s="6" t="s">
        <v>13</v>
      </c>
      <c r="D51" s="10" t="s">
        <v>43</v>
      </c>
      <c r="E51" s="8" t="s">
        <v>270</v>
      </c>
      <c r="F51" s="16">
        <v>5</v>
      </c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/>
      <c r="B52" s="9" t="s">
        <v>20</v>
      </c>
      <c r="C52" s="6" t="s">
        <v>10</v>
      </c>
      <c r="D52" s="10" t="s">
        <v>42</v>
      </c>
      <c r="E52" s="26">
        <v>2116210201501</v>
      </c>
      <c r="F52" s="16">
        <v>1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7"/>
      <c r="B53" s="9" t="s">
        <v>32</v>
      </c>
      <c r="C53" s="6" t="s">
        <v>8</v>
      </c>
      <c r="D53" s="10" t="s">
        <v>41</v>
      </c>
      <c r="E53" s="8" t="s">
        <v>247</v>
      </c>
      <c r="F53" s="16">
        <v>6</v>
      </c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46.8" x14ac:dyDescent="0.25">
      <c r="A54" s="98"/>
      <c r="B54" s="9" t="s">
        <v>32</v>
      </c>
      <c r="C54" s="6" t="s">
        <v>38</v>
      </c>
      <c r="D54" s="10" t="s">
        <v>39</v>
      </c>
      <c r="E54" s="8" t="s">
        <v>287</v>
      </c>
      <c r="F54" s="16">
        <v>8</v>
      </c>
      <c r="G54" s="99"/>
      <c r="H54" s="10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09.2" x14ac:dyDescent="0.25">
      <c r="A55" s="97">
        <v>18</v>
      </c>
      <c r="B55" s="9" t="s">
        <v>20</v>
      </c>
      <c r="C55" s="6" t="s">
        <v>44</v>
      </c>
      <c r="D55" s="10" t="s">
        <v>45</v>
      </c>
      <c r="E55" s="8" t="s">
        <v>272</v>
      </c>
      <c r="F55" s="16">
        <v>16</v>
      </c>
      <c r="G55" s="99">
        <f>SUM(F55:F57)</f>
        <v>27</v>
      </c>
      <c r="H55" s="100" t="s">
        <v>516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31.2" x14ac:dyDescent="0.25">
      <c r="A56" s="97"/>
      <c r="B56" s="9" t="s">
        <v>20</v>
      </c>
      <c r="C56" s="6" t="s">
        <v>38</v>
      </c>
      <c r="D56" s="10" t="s">
        <v>50</v>
      </c>
      <c r="E56" s="8" t="s">
        <v>295</v>
      </c>
      <c r="F56" s="16">
        <v>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8"/>
      <c r="B57" s="9" t="s">
        <v>32</v>
      </c>
      <c r="C57" s="6" t="s">
        <v>49</v>
      </c>
      <c r="D57" s="10" t="s">
        <v>48</v>
      </c>
      <c r="E57" s="8" t="s">
        <v>273</v>
      </c>
      <c r="F57" s="16">
        <v>4</v>
      </c>
      <c r="G57" s="99"/>
      <c r="H57" s="10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>
        <v>19</v>
      </c>
      <c r="B58" s="9" t="s">
        <v>32</v>
      </c>
      <c r="C58" s="6" t="s">
        <v>47</v>
      </c>
      <c r="D58" s="10" t="s">
        <v>46</v>
      </c>
      <c r="E58" s="8" t="s">
        <v>271</v>
      </c>
      <c r="F58" s="16">
        <v>12</v>
      </c>
      <c r="G58" s="99">
        <f>SUM(F58:F60)</f>
        <v>27</v>
      </c>
      <c r="H58" s="100" t="s">
        <v>517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7"/>
      <c r="B59" s="9" t="s">
        <v>20</v>
      </c>
      <c r="C59" s="6" t="s">
        <v>54</v>
      </c>
      <c r="D59" s="10" t="s">
        <v>53</v>
      </c>
      <c r="E59" s="26">
        <v>2116201101541</v>
      </c>
      <c r="F59" s="16">
        <v>1</v>
      </c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8"/>
      <c r="B60" s="9" t="s">
        <v>32</v>
      </c>
      <c r="C60" s="6" t="s">
        <v>51</v>
      </c>
      <c r="D60" s="10" t="s">
        <v>52</v>
      </c>
      <c r="E60" s="8" t="s">
        <v>283</v>
      </c>
      <c r="F60" s="16">
        <v>14</v>
      </c>
      <c r="G60" s="99"/>
      <c r="H60" s="10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62.4" x14ac:dyDescent="0.25">
      <c r="A61" s="97">
        <v>20</v>
      </c>
      <c r="B61" s="9" t="s">
        <v>32</v>
      </c>
      <c r="C61" s="6" t="s">
        <v>55</v>
      </c>
      <c r="D61" s="10" t="s">
        <v>56</v>
      </c>
      <c r="E61" s="8" t="s">
        <v>262</v>
      </c>
      <c r="F61" s="16">
        <v>14</v>
      </c>
      <c r="G61" s="99">
        <f>SUM(F61:F64)</f>
        <v>27</v>
      </c>
      <c r="H61" s="100" t="s">
        <v>518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/>
      <c r="B62" s="9" t="s">
        <v>32</v>
      </c>
      <c r="C62" s="6" t="s">
        <v>60</v>
      </c>
      <c r="D62" s="10" t="s">
        <v>59</v>
      </c>
      <c r="E62" s="8" t="s">
        <v>288</v>
      </c>
      <c r="F62" s="16">
        <v>6</v>
      </c>
      <c r="G62" s="99"/>
      <c r="H62" s="100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7"/>
      <c r="B63" s="9" t="s">
        <v>32</v>
      </c>
      <c r="C63" s="6" t="s">
        <v>62</v>
      </c>
      <c r="D63" s="10" t="s">
        <v>61</v>
      </c>
      <c r="E63" s="8" t="s">
        <v>296</v>
      </c>
      <c r="F63" s="16">
        <v>3</v>
      </c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8"/>
      <c r="B64" s="9" t="s">
        <v>32</v>
      </c>
      <c r="C64" s="6" t="s">
        <v>57</v>
      </c>
      <c r="D64" s="10" t="s">
        <v>58</v>
      </c>
      <c r="E64" s="8" t="s">
        <v>256</v>
      </c>
      <c r="F64" s="16">
        <v>4</v>
      </c>
      <c r="G64" s="99"/>
      <c r="H64" s="100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7">
        <v>21</v>
      </c>
      <c r="B65" s="9" t="s">
        <v>32</v>
      </c>
      <c r="C65" s="6" t="s">
        <v>64</v>
      </c>
      <c r="D65" s="10" t="s">
        <v>63</v>
      </c>
      <c r="E65" s="8" t="s">
        <v>289</v>
      </c>
      <c r="F65" s="16">
        <v>6</v>
      </c>
      <c r="G65" s="99">
        <f>SUM(F65:F68)</f>
        <v>13</v>
      </c>
      <c r="H65" s="100" t="s">
        <v>519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/>
      <c r="B66" s="9" t="s">
        <v>20</v>
      </c>
      <c r="C66" s="6" t="s">
        <v>36</v>
      </c>
      <c r="D66" s="10" t="s">
        <v>37</v>
      </c>
      <c r="E66" s="8" t="s">
        <v>302</v>
      </c>
      <c r="F66" s="16">
        <v>4</v>
      </c>
      <c r="G66" s="99"/>
      <c r="H66" s="10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7"/>
      <c r="B67" s="9" t="s">
        <v>66</v>
      </c>
      <c r="C67" s="6" t="s">
        <v>13</v>
      </c>
      <c r="D67" s="10" t="s">
        <v>65</v>
      </c>
      <c r="E67" s="26">
        <v>2116180501028</v>
      </c>
      <c r="F67" s="16">
        <v>1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8"/>
      <c r="B68" s="9" t="s">
        <v>69</v>
      </c>
      <c r="C68" s="6" t="s">
        <v>68</v>
      </c>
      <c r="D68" s="10" t="s">
        <v>67</v>
      </c>
      <c r="E68" s="8" t="s">
        <v>269</v>
      </c>
      <c r="F68" s="16">
        <v>2</v>
      </c>
      <c r="G68" s="99"/>
      <c r="H68" s="10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75" customHeight="1" x14ac:dyDescent="0.3">
      <c r="A69" s="101" t="s">
        <v>15</v>
      </c>
      <c r="B69" s="101"/>
      <c r="C69" s="101"/>
      <c r="D69" s="101"/>
      <c r="E69" s="101"/>
      <c r="F69" s="24"/>
      <c r="G69" s="17">
        <v>553</v>
      </c>
      <c r="H69" s="18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5.75" customHeight="1" x14ac:dyDescent="0.3">
      <c r="A70" s="102"/>
      <c r="B70" s="103"/>
      <c r="C70" s="103"/>
      <c r="D70" s="103"/>
      <c r="E70" s="103"/>
      <c r="F70" s="104"/>
      <c r="G70" s="104"/>
      <c r="H70" s="10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5.75" customHeight="1" x14ac:dyDescent="0.3">
      <c r="A71" s="106" t="s">
        <v>16</v>
      </c>
      <c r="B71" s="107"/>
      <c r="C71" s="107"/>
      <c r="D71" s="107"/>
      <c r="E71" s="107"/>
      <c r="F71" s="107"/>
      <c r="G71" s="107"/>
      <c r="H71" s="108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5.75" customHeight="1" x14ac:dyDescent="0.3">
      <c r="A72" s="106" t="s">
        <v>70</v>
      </c>
      <c r="B72" s="107"/>
      <c r="C72" s="107"/>
      <c r="D72" s="107"/>
      <c r="E72" s="107"/>
      <c r="F72" s="107"/>
      <c r="G72" s="107"/>
      <c r="H72" s="108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5.75" customHeight="1" x14ac:dyDescent="0.3">
      <c r="A73" s="109"/>
      <c r="B73" s="110"/>
      <c r="C73" s="110"/>
      <c r="D73" s="110"/>
      <c r="E73" s="110"/>
      <c r="F73" s="110"/>
      <c r="G73" s="110"/>
      <c r="H73" s="111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5.75" customHeight="1" x14ac:dyDescent="0.3">
      <c r="A74" s="22"/>
      <c r="B74" s="25"/>
      <c r="C74" s="25"/>
      <c r="D74" s="25"/>
      <c r="E74" s="25"/>
      <c r="F74" s="25"/>
      <c r="G74" s="25"/>
      <c r="H74" s="2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5.75" customHeight="1" x14ac:dyDescent="0.3">
      <c r="A75" s="83" t="s">
        <v>17</v>
      </c>
      <c r="B75" s="84"/>
      <c r="C75" s="84"/>
      <c r="D75" s="84"/>
      <c r="E75" s="84"/>
      <c r="F75" s="84"/>
      <c r="G75" s="84"/>
      <c r="H75" s="8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5.75" customHeight="1" x14ac:dyDescent="0.3">
      <c r="A76" s="86"/>
      <c r="B76" s="87"/>
      <c r="C76" s="87"/>
      <c r="D76" s="87"/>
      <c r="E76" s="87"/>
      <c r="F76" s="87"/>
      <c r="G76" s="87"/>
      <c r="H76" s="88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5.75" customHeight="1" x14ac:dyDescent="0.3">
      <c r="A77" s="12"/>
      <c r="B77" s="12"/>
      <c r="C77" s="12"/>
      <c r="D77" s="12"/>
      <c r="E77" s="12"/>
      <c r="F77" s="12"/>
      <c r="G77" s="12"/>
      <c r="H77" s="7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5.75" customHeight="1" x14ac:dyDescent="0.3">
      <c r="A78" s="12"/>
      <c r="B78" s="12"/>
      <c r="C78" s="12"/>
      <c r="D78" s="12"/>
      <c r="E78" s="12"/>
      <c r="F78" s="12"/>
      <c r="G78" s="12"/>
      <c r="H78" s="7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5.75" customHeight="1" x14ac:dyDescent="0.3">
      <c r="A79" s="12"/>
      <c r="B79" s="12"/>
      <c r="C79" s="12"/>
      <c r="D79" s="12"/>
      <c r="E79" s="12"/>
      <c r="F79" s="12"/>
      <c r="G79" s="12"/>
      <c r="H79" s="7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5.75" customHeight="1" x14ac:dyDescent="0.3">
      <c r="A80" s="12"/>
      <c r="B80" s="12"/>
      <c r="C80" s="12"/>
      <c r="D80" s="12"/>
      <c r="E80" s="12"/>
      <c r="F80" s="12"/>
      <c r="G80" s="12"/>
      <c r="H80" s="7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5.75" customHeight="1" x14ac:dyDescent="0.3">
      <c r="A81" s="12"/>
      <c r="B81" s="12"/>
      <c r="C81" s="12"/>
      <c r="D81" s="12"/>
      <c r="E81" s="12"/>
      <c r="F81" s="12"/>
      <c r="G81" s="12"/>
      <c r="H81" s="7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5.75" customHeight="1" x14ac:dyDescent="0.3">
      <c r="A82" s="12"/>
      <c r="B82" s="12"/>
      <c r="C82" s="12"/>
      <c r="D82" s="12"/>
      <c r="E82" s="12"/>
      <c r="F82" s="12"/>
      <c r="G82" s="12"/>
      <c r="H82" s="7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5.75" customHeight="1" x14ac:dyDescent="0.3">
      <c r="A83" s="12"/>
      <c r="B83" s="12"/>
      <c r="C83" s="12"/>
      <c r="D83" s="12"/>
      <c r="E83" s="12"/>
      <c r="F83" s="12"/>
      <c r="G83" s="12"/>
      <c r="H83" s="7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5.75" customHeight="1" x14ac:dyDescent="0.3">
      <c r="A84" s="12"/>
      <c r="B84" s="12"/>
      <c r="C84" s="12"/>
      <c r="D84" s="12"/>
      <c r="E84" s="12"/>
      <c r="F84" s="12"/>
      <c r="G84" s="12"/>
      <c r="H84" s="7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5.75" customHeight="1" x14ac:dyDescent="0.3">
      <c r="A85" s="12"/>
      <c r="B85" s="12"/>
      <c r="C85" s="12"/>
      <c r="D85" s="12"/>
      <c r="E85" s="12"/>
      <c r="F85" s="12"/>
      <c r="G85" s="12"/>
      <c r="H85" s="7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5.75" customHeight="1" x14ac:dyDescent="0.3">
      <c r="A86" s="12"/>
      <c r="B86" s="12"/>
      <c r="C86" s="12"/>
      <c r="D86" s="12"/>
      <c r="E86" s="12"/>
      <c r="F86" s="12"/>
      <c r="G86" s="12"/>
      <c r="H86" s="7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.75" customHeight="1" x14ac:dyDescent="0.3">
      <c r="A87" s="12"/>
      <c r="B87" s="12"/>
      <c r="C87" s="12"/>
      <c r="D87" s="12"/>
      <c r="E87" s="12"/>
      <c r="F87" s="12"/>
      <c r="G87" s="12"/>
      <c r="H87" s="7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.75" customHeight="1" x14ac:dyDescent="0.3">
      <c r="A88" s="12"/>
      <c r="B88" s="12"/>
      <c r="C88" s="12"/>
      <c r="D88" s="12"/>
      <c r="E88" s="12"/>
      <c r="F88" s="12"/>
      <c r="G88" s="12"/>
      <c r="H88" s="7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.75" customHeight="1" x14ac:dyDescent="0.3">
      <c r="A89" s="12"/>
      <c r="B89" s="12"/>
      <c r="C89" s="12"/>
      <c r="D89" s="12"/>
      <c r="E89" s="12"/>
      <c r="F89" s="12"/>
      <c r="G89" s="12"/>
      <c r="H89" s="7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.75" customHeight="1" x14ac:dyDescent="0.3">
      <c r="A90" s="12"/>
      <c r="B90" s="12"/>
      <c r="C90" s="12"/>
      <c r="D90" s="12"/>
      <c r="E90" s="12"/>
      <c r="F90" s="12"/>
      <c r="G90" s="12"/>
      <c r="H90" s="7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.75" customHeight="1" x14ac:dyDescent="0.3">
      <c r="A91" s="12"/>
      <c r="B91" s="12"/>
      <c r="C91" s="12"/>
      <c r="D91" s="12"/>
      <c r="E91" s="12"/>
      <c r="F91" s="12"/>
      <c r="G91" s="12"/>
      <c r="H91" s="7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.7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.7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.7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.7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.7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.7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.7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.7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.7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.7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.7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.7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.7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.7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.7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.7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.7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</sheetData>
  <autoFilter ref="A7:Y69" xr:uid="{00000000-0009-0000-0000-000000000000}"/>
  <mergeCells count="74">
    <mergeCell ref="A72:H72"/>
    <mergeCell ref="A73:H73"/>
    <mergeCell ref="A1:H1"/>
    <mergeCell ref="A2:H2"/>
    <mergeCell ref="A3:H3"/>
    <mergeCell ref="A4:H4"/>
    <mergeCell ref="A5:H5"/>
    <mergeCell ref="A8:A9"/>
    <mergeCell ref="G8:G9"/>
    <mergeCell ref="H8:H9"/>
    <mergeCell ref="A10:A11"/>
    <mergeCell ref="G10:G11"/>
    <mergeCell ref="H10:H11"/>
    <mergeCell ref="A12:A13"/>
    <mergeCell ref="G12:G13"/>
    <mergeCell ref="H12:H13"/>
    <mergeCell ref="A75:H76"/>
    <mergeCell ref="A55:A57"/>
    <mergeCell ref="G55:G57"/>
    <mergeCell ref="H55:H57"/>
    <mergeCell ref="A58:A60"/>
    <mergeCell ref="G58:G60"/>
    <mergeCell ref="H58:H60"/>
    <mergeCell ref="A61:A64"/>
    <mergeCell ref="G61:G64"/>
    <mergeCell ref="H61:H64"/>
    <mergeCell ref="A65:A68"/>
    <mergeCell ref="G65:G68"/>
    <mergeCell ref="H65:H68"/>
    <mergeCell ref="A69:E69"/>
    <mergeCell ref="A70:H70"/>
    <mergeCell ref="A71:H71"/>
    <mergeCell ref="A14:A15"/>
    <mergeCell ref="G14:G15"/>
    <mergeCell ref="H14:H15"/>
    <mergeCell ref="A16:A18"/>
    <mergeCell ref="G16:G18"/>
    <mergeCell ref="H16:H18"/>
    <mergeCell ref="A19:A20"/>
    <mergeCell ref="G19:G20"/>
    <mergeCell ref="H19:H20"/>
    <mergeCell ref="A21:A22"/>
    <mergeCell ref="G21:G22"/>
    <mergeCell ref="H21:H22"/>
    <mergeCell ref="A23:A24"/>
    <mergeCell ref="G23:G24"/>
    <mergeCell ref="H23:H24"/>
    <mergeCell ref="A25:A27"/>
    <mergeCell ref="G25:G27"/>
    <mergeCell ref="H25:H27"/>
    <mergeCell ref="A28:A31"/>
    <mergeCell ref="G28:G31"/>
    <mergeCell ref="H28:H31"/>
    <mergeCell ref="A32:A34"/>
    <mergeCell ref="G32:G34"/>
    <mergeCell ref="H32:H34"/>
    <mergeCell ref="A35:A37"/>
    <mergeCell ref="G35:G37"/>
    <mergeCell ref="H35:H37"/>
    <mergeCell ref="A38:A41"/>
    <mergeCell ref="G38:G41"/>
    <mergeCell ref="H38:H41"/>
    <mergeCell ref="A42:A44"/>
    <mergeCell ref="G42:G44"/>
    <mergeCell ref="H42:H44"/>
    <mergeCell ref="A45:A46"/>
    <mergeCell ref="G45:G46"/>
    <mergeCell ref="H45:H46"/>
    <mergeCell ref="A47:A48"/>
    <mergeCell ref="G47:G48"/>
    <mergeCell ref="H47:H48"/>
    <mergeCell ref="A49:A54"/>
    <mergeCell ref="G49:G54"/>
    <mergeCell ref="H49:H54"/>
  </mergeCells>
  <phoneticPr fontId="14" type="noConversion"/>
  <pageMargins left="0.7" right="0.7" top="0.75" bottom="0.7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B0F0"/>
    <outlinePr summaryBelow="0" summaryRight="0"/>
  </sheetPr>
  <dimension ref="A1:Y640"/>
  <sheetViews>
    <sheetView zoomScale="85" zoomScaleNormal="85" workbookViewId="0">
      <pane ySplit="7" topLeftCell="A77" activePane="bottomLeft" state="frozen"/>
      <selection activeCell="I66" sqref="I66"/>
      <selection pane="bottomLeft" activeCell="I66" sqref="I66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9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72</v>
      </c>
      <c r="B4" s="115"/>
      <c r="C4" s="116"/>
      <c r="D4" s="116"/>
      <c r="E4" s="116"/>
      <c r="F4" s="116"/>
      <c r="G4" s="116"/>
      <c r="H4" s="116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20</v>
      </c>
      <c r="C8" s="6" t="s">
        <v>44</v>
      </c>
      <c r="D8" s="10" t="s">
        <v>73</v>
      </c>
      <c r="E8" s="8" t="s">
        <v>324</v>
      </c>
      <c r="F8" s="16">
        <v>27</v>
      </c>
      <c r="G8" s="99">
        <f>SUM(F8:F9)</f>
        <v>54</v>
      </c>
      <c r="H8" s="100" t="s">
        <v>499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 t="s">
        <v>20</v>
      </c>
      <c r="C9" s="6" t="s">
        <v>38</v>
      </c>
      <c r="D9" s="10" t="s">
        <v>74</v>
      </c>
      <c r="E9" s="8" t="s">
        <v>358</v>
      </c>
      <c r="F9" s="16">
        <v>27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20</v>
      </c>
      <c r="C10" s="6" t="s">
        <v>44</v>
      </c>
      <c r="D10" s="10" t="s">
        <v>73</v>
      </c>
      <c r="E10" s="8" t="s">
        <v>325</v>
      </c>
      <c r="F10" s="16">
        <v>27</v>
      </c>
      <c r="G10" s="99">
        <f>SUM(F10:F11)</f>
        <v>54</v>
      </c>
      <c r="H10" s="100" t="s">
        <v>500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33.75" customHeight="1" x14ac:dyDescent="0.25">
      <c r="A11" s="98"/>
      <c r="B11" s="9" t="s">
        <v>20</v>
      </c>
      <c r="C11" s="6" t="s">
        <v>38</v>
      </c>
      <c r="D11" s="10" t="s">
        <v>74</v>
      </c>
      <c r="E11" s="8" t="s">
        <v>357</v>
      </c>
      <c r="F11" s="16">
        <v>27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 t="s">
        <v>20</v>
      </c>
      <c r="C12" s="6" t="s">
        <v>44</v>
      </c>
      <c r="D12" s="10" t="s">
        <v>73</v>
      </c>
      <c r="E12" s="8" t="s">
        <v>326</v>
      </c>
      <c r="F12" s="16">
        <v>27</v>
      </c>
      <c r="G12" s="99">
        <f>SUM(F12:F13)</f>
        <v>54</v>
      </c>
      <c r="H12" s="100" t="s">
        <v>501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 t="s">
        <v>20</v>
      </c>
      <c r="C13" s="6" t="s">
        <v>38</v>
      </c>
      <c r="D13" s="10" t="s">
        <v>74</v>
      </c>
      <c r="E13" s="8" t="s">
        <v>359</v>
      </c>
      <c r="F13" s="16">
        <v>27</v>
      </c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 t="s">
        <v>20</v>
      </c>
      <c r="C14" s="6" t="s">
        <v>44</v>
      </c>
      <c r="D14" s="10" t="s">
        <v>73</v>
      </c>
      <c r="E14" s="8" t="s">
        <v>327</v>
      </c>
      <c r="F14" s="16">
        <v>27</v>
      </c>
      <c r="G14" s="99">
        <f>SUM(F14:F15)</f>
        <v>54</v>
      </c>
      <c r="H14" s="100" t="s">
        <v>502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 t="s">
        <v>20</v>
      </c>
      <c r="C15" s="6" t="s">
        <v>38</v>
      </c>
      <c r="D15" s="10" t="s">
        <v>74</v>
      </c>
      <c r="E15" s="8" t="s">
        <v>360</v>
      </c>
      <c r="F15" s="16">
        <v>27</v>
      </c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 t="s">
        <v>20</v>
      </c>
      <c r="C16" s="6" t="s">
        <v>44</v>
      </c>
      <c r="D16" s="10" t="s">
        <v>73</v>
      </c>
      <c r="E16" s="8" t="s">
        <v>329</v>
      </c>
      <c r="F16" s="16">
        <v>27</v>
      </c>
      <c r="G16" s="99">
        <f>SUM(F16:F18)</f>
        <v>54</v>
      </c>
      <c r="H16" s="100" t="s">
        <v>503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7"/>
      <c r="B17" s="9" t="s">
        <v>20</v>
      </c>
      <c r="C17" s="6" t="s">
        <v>38</v>
      </c>
      <c r="D17" s="10" t="s">
        <v>74</v>
      </c>
      <c r="E17" s="8" t="s">
        <v>361</v>
      </c>
      <c r="F17" s="16">
        <v>26</v>
      </c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30.75" customHeight="1" x14ac:dyDescent="0.25">
      <c r="A18" s="98"/>
      <c r="B18" s="9" t="s">
        <v>20</v>
      </c>
      <c r="C18" s="6" t="s">
        <v>34</v>
      </c>
      <c r="D18" s="10" t="s">
        <v>74</v>
      </c>
      <c r="E18" s="26">
        <v>2116210901061</v>
      </c>
      <c r="F18" s="16">
        <v>1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7">
        <v>6</v>
      </c>
      <c r="B19" s="9" t="s">
        <v>20</v>
      </c>
      <c r="C19" s="6" t="s">
        <v>44</v>
      </c>
      <c r="D19" s="10" t="s">
        <v>73</v>
      </c>
      <c r="E19" s="8" t="s">
        <v>328</v>
      </c>
      <c r="F19" s="16">
        <v>27</v>
      </c>
      <c r="G19" s="99">
        <f>SUM(F19:F21)</f>
        <v>54</v>
      </c>
      <c r="H19" s="100" t="s">
        <v>504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/>
      <c r="B20" s="9" t="s">
        <v>20</v>
      </c>
      <c r="C20" s="6" t="s">
        <v>54</v>
      </c>
      <c r="D20" s="10" t="s">
        <v>75</v>
      </c>
      <c r="E20" s="8" t="s">
        <v>363</v>
      </c>
      <c r="F20" s="16">
        <v>24</v>
      </c>
      <c r="G20" s="99"/>
      <c r="H20" s="10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 t="s">
        <v>20</v>
      </c>
      <c r="C21" s="6" t="s">
        <v>35</v>
      </c>
      <c r="D21" s="10" t="s">
        <v>74</v>
      </c>
      <c r="E21" s="8" t="s">
        <v>362</v>
      </c>
      <c r="F21" s="16">
        <v>3</v>
      </c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7</v>
      </c>
      <c r="B22" s="9" t="s">
        <v>20</v>
      </c>
      <c r="C22" s="6" t="s">
        <v>44</v>
      </c>
      <c r="D22" s="10" t="s">
        <v>73</v>
      </c>
      <c r="E22" s="8" t="s">
        <v>330</v>
      </c>
      <c r="F22" s="16">
        <v>27</v>
      </c>
      <c r="G22" s="99">
        <f>SUM(F22:F23)</f>
        <v>54</v>
      </c>
      <c r="H22" s="100" t="s">
        <v>505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 t="s">
        <v>20</v>
      </c>
      <c r="C23" s="6" t="s">
        <v>54</v>
      </c>
      <c r="D23" s="10" t="s">
        <v>75</v>
      </c>
      <c r="E23" s="8" t="s">
        <v>364</v>
      </c>
      <c r="F23" s="16">
        <v>27</v>
      </c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8</v>
      </c>
      <c r="B24" s="9" t="s">
        <v>20</v>
      </c>
      <c r="C24" s="6" t="s">
        <v>44</v>
      </c>
      <c r="D24" s="10" t="s">
        <v>73</v>
      </c>
      <c r="E24" s="8" t="s">
        <v>331</v>
      </c>
      <c r="F24" s="16">
        <v>27</v>
      </c>
      <c r="G24" s="99">
        <f>SUM(F24:F25)</f>
        <v>54</v>
      </c>
      <c r="H24" s="100" t="s">
        <v>506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 t="s">
        <v>20</v>
      </c>
      <c r="C25" s="6" t="s">
        <v>54</v>
      </c>
      <c r="D25" s="10" t="s">
        <v>75</v>
      </c>
      <c r="E25" s="8" t="s">
        <v>365</v>
      </c>
      <c r="F25" s="16">
        <v>27</v>
      </c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9</v>
      </c>
      <c r="B26" s="9" t="s">
        <v>20</v>
      </c>
      <c r="C26" s="6" t="s">
        <v>44</v>
      </c>
      <c r="D26" s="10" t="s">
        <v>73</v>
      </c>
      <c r="E26" s="8" t="s">
        <v>332</v>
      </c>
      <c r="F26" s="16">
        <v>27</v>
      </c>
      <c r="G26" s="99">
        <f>SUM(F26:F27)</f>
        <v>54</v>
      </c>
      <c r="H26" s="100" t="s">
        <v>507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 t="s">
        <v>20</v>
      </c>
      <c r="C27" s="6" t="s">
        <v>54</v>
      </c>
      <c r="D27" s="10" t="s">
        <v>75</v>
      </c>
      <c r="E27" s="8" t="s">
        <v>366</v>
      </c>
      <c r="F27" s="16">
        <v>27</v>
      </c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10</v>
      </c>
      <c r="B28" s="9" t="s">
        <v>20</v>
      </c>
      <c r="C28" s="6" t="s">
        <v>44</v>
      </c>
      <c r="D28" s="10" t="s">
        <v>73</v>
      </c>
      <c r="E28" s="8" t="s">
        <v>333</v>
      </c>
      <c r="F28" s="16">
        <v>27</v>
      </c>
      <c r="G28" s="99">
        <f>SUM(F28:F29)</f>
        <v>54</v>
      </c>
      <c r="H28" s="100" t="s">
        <v>508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1.2" x14ac:dyDescent="0.25">
      <c r="A29" s="98"/>
      <c r="B29" s="9" t="s">
        <v>20</v>
      </c>
      <c r="C29" s="6" t="s">
        <v>54</v>
      </c>
      <c r="D29" s="10" t="s">
        <v>75</v>
      </c>
      <c r="E29" s="8" t="s">
        <v>367</v>
      </c>
      <c r="F29" s="16">
        <v>27</v>
      </c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11</v>
      </c>
      <c r="B30" s="9" t="s">
        <v>20</v>
      </c>
      <c r="C30" s="6" t="s">
        <v>44</v>
      </c>
      <c r="D30" s="10" t="s">
        <v>73</v>
      </c>
      <c r="E30" s="8" t="s">
        <v>334</v>
      </c>
      <c r="F30" s="16">
        <v>27</v>
      </c>
      <c r="G30" s="99">
        <f>SUM(F30:F31)</f>
        <v>54</v>
      </c>
      <c r="H30" s="100" t="s">
        <v>509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 t="s">
        <v>20</v>
      </c>
      <c r="C31" s="6" t="s">
        <v>54</v>
      </c>
      <c r="D31" s="10" t="s">
        <v>75</v>
      </c>
      <c r="E31" s="8" t="s">
        <v>368</v>
      </c>
      <c r="F31" s="16">
        <v>27</v>
      </c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12</v>
      </c>
      <c r="B32" s="9" t="s">
        <v>20</v>
      </c>
      <c r="C32" s="6" t="s">
        <v>44</v>
      </c>
      <c r="D32" s="10" t="s">
        <v>73</v>
      </c>
      <c r="E32" s="8" t="s">
        <v>335</v>
      </c>
      <c r="F32" s="16">
        <v>27</v>
      </c>
      <c r="G32" s="99">
        <f>SUM(F32:F34)</f>
        <v>54</v>
      </c>
      <c r="H32" s="100" t="s">
        <v>511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7"/>
      <c r="B33" s="9" t="s">
        <v>20</v>
      </c>
      <c r="C33" s="6" t="s">
        <v>77</v>
      </c>
      <c r="D33" s="10" t="s">
        <v>76</v>
      </c>
      <c r="E33" s="8" t="s">
        <v>312</v>
      </c>
      <c r="F33" s="16">
        <v>11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31.2" x14ac:dyDescent="0.25">
      <c r="A34" s="98"/>
      <c r="B34" s="9" t="s">
        <v>20</v>
      </c>
      <c r="C34" s="6" t="s">
        <v>54</v>
      </c>
      <c r="D34" s="10" t="s">
        <v>75</v>
      </c>
      <c r="E34" s="8" t="s">
        <v>369</v>
      </c>
      <c r="F34" s="16">
        <v>16</v>
      </c>
      <c r="G34" s="99"/>
      <c r="H34" s="10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31.2" x14ac:dyDescent="0.25">
      <c r="A35" s="97">
        <v>13</v>
      </c>
      <c r="B35" s="9" t="s">
        <v>20</v>
      </c>
      <c r="C35" s="6" t="s">
        <v>44</v>
      </c>
      <c r="D35" s="10" t="s">
        <v>73</v>
      </c>
      <c r="E35" s="8" t="s">
        <v>336</v>
      </c>
      <c r="F35" s="16">
        <v>27</v>
      </c>
      <c r="G35" s="99">
        <f>SUM(F35:F36)</f>
        <v>54</v>
      </c>
      <c r="H35" s="100" t="s">
        <v>512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31.2" x14ac:dyDescent="0.25">
      <c r="A36" s="98"/>
      <c r="B36" s="9" t="s">
        <v>20</v>
      </c>
      <c r="C36" s="6" t="s">
        <v>77</v>
      </c>
      <c r="D36" s="10" t="s">
        <v>76</v>
      </c>
      <c r="E36" s="8" t="s">
        <v>313</v>
      </c>
      <c r="F36" s="16">
        <v>27</v>
      </c>
      <c r="G36" s="99"/>
      <c r="H36" s="100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7">
        <v>14</v>
      </c>
      <c r="B37" s="9" t="s">
        <v>20</v>
      </c>
      <c r="C37" s="6" t="s">
        <v>44</v>
      </c>
      <c r="D37" s="10" t="s">
        <v>73</v>
      </c>
      <c r="E37" s="27">
        <v>2116200701520</v>
      </c>
      <c r="F37" s="16">
        <v>1</v>
      </c>
      <c r="G37" s="99">
        <f>SUM(F37:F39)</f>
        <v>54</v>
      </c>
      <c r="H37" s="100" t="s">
        <v>513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93.6" x14ac:dyDescent="0.25">
      <c r="A38" s="97"/>
      <c r="B38" s="9" t="s">
        <v>20</v>
      </c>
      <c r="C38" s="6" t="s">
        <v>31</v>
      </c>
      <c r="D38" s="10" t="s">
        <v>78</v>
      </c>
      <c r="E38" s="8" t="s">
        <v>308</v>
      </c>
      <c r="F38" s="16">
        <v>26</v>
      </c>
      <c r="G38" s="99"/>
      <c r="H38" s="100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46.8" x14ac:dyDescent="0.25">
      <c r="A39" s="98"/>
      <c r="B39" s="9" t="s">
        <v>20</v>
      </c>
      <c r="C39" s="6" t="s">
        <v>77</v>
      </c>
      <c r="D39" s="10" t="s">
        <v>76</v>
      </c>
      <c r="E39" s="8" t="s">
        <v>314</v>
      </c>
      <c r="F39" s="16">
        <v>27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15</v>
      </c>
      <c r="B40" s="9" t="s">
        <v>20</v>
      </c>
      <c r="C40" s="6" t="s">
        <v>77</v>
      </c>
      <c r="D40" s="10" t="s">
        <v>76</v>
      </c>
      <c r="E40" s="8" t="s">
        <v>315</v>
      </c>
      <c r="F40" s="16">
        <v>27</v>
      </c>
      <c r="G40" s="99">
        <f>SUM(F40:F41)</f>
        <v>54</v>
      </c>
      <c r="H40" s="100" t="s">
        <v>514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31.2" x14ac:dyDescent="0.25">
      <c r="A41" s="98"/>
      <c r="B41" s="9" t="s">
        <v>20</v>
      </c>
      <c r="C41" s="6" t="s">
        <v>31</v>
      </c>
      <c r="D41" s="10" t="s">
        <v>78</v>
      </c>
      <c r="E41" s="8" t="s">
        <v>309</v>
      </c>
      <c r="F41" s="16">
        <v>27</v>
      </c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31.2" x14ac:dyDescent="0.25">
      <c r="A42" s="97">
        <v>16</v>
      </c>
      <c r="B42" s="9" t="s">
        <v>20</v>
      </c>
      <c r="C42" s="6" t="s">
        <v>77</v>
      </c>
      <c r="D42" s="10" t="s">
        <v>76</v>
      </c>
      <c r="E42" s="8" t="s">
        <v>316</v>
      </c>
      <c r="F42" s="16">
        <v>27</v>
      </c>
      <c r="G42" s="99">
        <f>SUM(F42:F43)</f>
        <v>54</v>
      </c>
      <c r="H42" s="100" t="s">
        <v>515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 t="s">
        <v>20</v>
      </c>
      <c r="C43" s="6" t="s">
        <v>31</v>
      </c>
      <c r="D43" s="10" t="s">
        <v>78</v>
      </c>
      <c r="E43" s="8" t="s">
        <v>310</v>
      </c>
      <c r="F43" s="16">
        <v>27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>
        <v>17</v>
      </c>
      <c r="B44" s="9" t="s">
        <v>20</v>
      </c>
      <c r="C44" s="6" t="s">
        <v>77</v>
      </c>
      <c r="D44" s="10" t="s">
        <v>76</v>
      </c>
      <c r="E44" s="8" t="s">
        <v>317</v>
      </c>
      <c r="F44" s="16">
        <v>23</v>
      </c>
      <c r="G44" s="99">
        <f>SUM(F44:F46)</f>
        <v>54</v>
      </c>
      <c r="H44" s="100" t="s">
        <v>516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/>
      <c r="B45" s="9" t="s">
        <v>20</v>
      </c>
      <c r="C45" s="6" t="s">
        <v>8</v>
      </c>
      <c r="D45" s="10" t="s">
        <v>79</v>
      </c>
      <c r="E45" s="8" t="s">
        <v>303</v>
      </c>
      <c r="F45" s="16">
        <v>7</v>
      </c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8"/>
      <c r="B46" s="9" t="s">
        <v>20</v>
      </c>
      <c r="C46" s="6" t="s">
        <v>31</v>
      </c>
      <c r="D46" s="10" t="s">
        <v>78</v>
      </c>
      <c r="E46" s="8" t="s">
        <v>311</v>
      </c>
      <c r="F46" s="16">
        <v>24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18</v>
      </c>
      <c r="B47" s="9" t="s">
        <v>20</v>
      </c>
      <c r="C47" s="6" t="s">
        <v>8</v>
      </c>
      <c r="D47" s="10" t="s">
        <v>79</v>
      </c>
      <c r="E47" s="8" t="s">
        <v>304</v>
      </c>
      <c r="F47" s="16">
        <v>27</v>
      </c>
      <c r="G47" s="99">
        <f>SUM(F47:F53)</f>
        <v>54</v>
      </c>
      <c r="H47" s="100" t="s">
        <v>517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7"/>
      <c r="B48" s="9" t="s">
        <v>20</v>
      </c>
      <c r="C48" s="6" t="s">
        <v>10</v>
      </c>
      <c r="D48" s="10" t="s">
        <v>81</v>
      </c>
      <c r="E48" s="8" t="s">
        <v>306</v>
      </c>
      <c r="F48" s="16">
        <v>16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46.8" x14ac:dyDescent="0.25">
      <c r="A49" s="97"/>
      <c r="B49" s="9" t="s">
        <v>32</v>
      </c>
      <c r="C49" s="6" t="s">
        <v>26</v>
      </c>
      <c r="D49" s="10" t="s">
        <v>80</v>
      </c>
      <c r="E49" s="8" t="s">
        <v>307</v>
      </c>
      <c r="F49" s="16">
        <v>6</v>
      </c>
      <c r="G49" s="99"/>
      <c r="H49" s="10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/>
      <c r="B50" s="9" t="s">
        <v>32</v>
      </c>
      <c r="C50" s="6" t="s">
        <v>12</v>
      </c>
      <c r="D50" s="10" t="s">
        <v>82</v>
      </c>
      <c r="E50" s="26">
        <v>2116231701038</v>
      </c>
      <c r="F50" s="16">
        <v>1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/>
      <c r="B51" s="9" t="s">
        <v>84</v>
      </c>
      <c r="C51" s="6" t="s">
        <v>44</v>
      </c>
      <c r="D51" s="10" t="s">
        <v>85</v>
      </c>
      <c r="E51" s="8" t="s">
        <v>323</v>
      </c>
      <c r="F51" s="16">
        <v>2</v>
      </c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/>
      <c r="B52" s="9" t="s">
        <v>87</v>
      </c>
      <c r="C52" s="6" t="s">
        <v>35</v>
      </c>
      <c r="D52" s="10" t="s">
        <v>86</v>
      </c>
      <c r="E52" s="26">
        <v>2116170801127</v>
      </c>
      <c r="F52" s="16">
        <v>1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 t="s">
        <v>32</v>
      </c>
      <c r="C53" s="6" t="s">
        <v>13</v>
      </c>
      <c r="D53" s="10" t="s">
        <v>83</v>
      </c>
      <c r="E53" s="26">
        <v>2116180501028</v>
      </c>
      <c r="F53" s="16">
        <v>1</v>
      </c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31.2" x14ac:dyDescent="0.25">
      <c r="A54" s="97">
        <v>19</v>
      </c>
      <c r="B54" s="9" t="s">
        <v>20</v>
      </c>
      <c r="C54" s="6" t="s">
        <v>8</v>
      </c>
      <c r="D54" s="10" t="s">
        <v>79</v>
      </c>
      <c r="E54" s="8" t="s">
        <v>305</v>
      </c>
      <c r="F54" s="16">
        <v>25</v>
      </c>
      <c r="G54" s="99">
        <f>SUM(F54:F56)</f>
        <v>54</v>
      </c>
      <c r="H54" s="100" t="s">
        <v>518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/>
      <c r="B55" s="9" t="s">
        <v>20</v>
      </c>
      <c r="C55" s="6" t="s">
        <v>13</v>
      </c>
      <c r="D55" s="10" t="s">
        <v>89</v>
      </c>
      <c r="E55" s="8" t="s">
        <v>320</v>
      </c>
      <c r="F55" s="16">
        <v>2</v>
      </c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31.2" x14ac:dyDescent="0.25">
      <c r="A56" s="98"/>
      <c r="B56" s="9" t="s">
        <v>20</v>
      </c>
      <c r="C56" s="6" t="s">
        <v>9</v>
      </c>
      <c r="D56" s="10" t="s">
        <v>88</v>
      </c>
      <c r="E56" s="8" t="s">
        <v>318</v>
      </c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20</v>
      </c>
      <c r="B57" s="9" t="s">
        <v>20</v>
      </c>
      <c r="C57" s="6" t="s">
        <v>9</v>
      </c>
      <c r="D57" s="10" t="s">
        <v>88</v>
      </c>
      <c r="E57" s="8" t="s">
        <v>319</v>
      </c>
      <c r="F57" s="16">
        <v>17</v>
      </c>
      <c r="G57" s="99">
        <f>SUM(F57:F59)</f>
        <v>54</v>
      </c>
      <c r="H57" s="100" t="s">
        <v>519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/>
      <c r="B58" s="9" t="s">
        <v>20</v>
      </c>
      <c r="C58" s="6" t="s">
        <v>13</v>
      </c>
      <c r="D58" s="10" t="s">
        <v>89</v>
      </c>
      <c r="E58" s="8" t="s">
        <v>321</v>
      </c>
      <c r="F58" s="16">
        <v>27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 t="s">
        <v>20</v>
      </c>
      <c r="C59" s="6" t="s">
        <v>33</v>
      </c>
      <c r="D59" s="6" t="s">
        <v>90</v>
      </c>
      <c r="E59" s="8" t="s">
        <v>370</v>
      </c>
      <c r="F59" s="16">
        <v>10</v>
      </c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21</v>
      </c>
      <c r="B60" s="9" t="s">
        <v>20</v>
      </c>
      <c r="C60" s="6" t="s">
        <v>13</v>
      </c>
      <c r="D60" s="10" t="s">
        <v>89</v>
      </c>
      <c r="E60" s="8" t="s">
        <v>322</v>
      </c>
      <c r="F60" s="16">
        <v>21</v>
      </c>
      <c r="G60" s="99">
        <f>SUM(F60:F61)</f>
        <v>48</v>
      </c>
      <c r="H60" s="100" t="s">
        <v>520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 t="s">
        <v>20</v>
      </c>
      <c r="C61" s="6" t="s">
        <v>33</v>
      </c>
      <c r="D61" s="6" t="s">
        <v>90</v>
      </c>
      <c r="E61" s="8" t="s">
        <v>371</v>
      </c>
      <c r="F61" s="16">
        <v>27</v>
      </c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31.2" x14ac:dyDescent="0.25">
      <c r="A62" s="19">
        <v>22</v>
      </c>
      <c r="B62" s="9" t="s">
        <v>20</v>
      </c>
      <c r="C62" s="6" t="s">
        <v>33</v>
      </c>
      <c r="D62" s="6" t="s">
        <v>90</v>
      </c>
      <c r="E62" s="8" t="s">
        <v>372</v>
      </c>
      <c r="F62" s="16">
        <v>26</v>
      </c>
      <c r="G62" s="20">
        <f>SUM(F62:F62)</f>
        <v>26</v>
      </c>
      <c r="H62" s="21" t="s">
        <v>521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7">
        <v>23</v>
      </c>
      <c r="B63" s="9" t="s">
        <v>69</v>
      </c>
      <c r="C63" s="6" t="s">
        <v>34</v>
      </c>
      <c r="D63" s="10" t="s">
        <v>91</v>
      </c>
      <c r="E63" s="8" t="s">
        <v>373</v>
      </c>
      <c r="F63" s="16">
        <v>2</v>
      </c>
      <c r="G63" s="99">
        <f>SUM(F63:F68)</f>
        <v>27</v>
      </c>
      <c r="H63" s="100" t="s">
        <v>522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31.2" x14ac:dyDescent="0.25">
      <c r="A64" s="97"/>
      <c r="B64" s="9" t="s">
        <v>84</v>
      </c>
      <c r="C64" s="6" t="s">
        <v>54</v>
      </c>
      <c r="D64" s="10" t="s">
        <v>92</v>
      </c>
      <c r="E64" s="8" t="s">
        <v>337</v>
      </c>
      <c r="F64" s="16">
        <v>5</v>
      </c>
      <c r="G64" s="99"/>
      <c r="H64" s="100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7"/>
      <c r="B65" s="9" t="s">
        <v>84</v>
      </c>
      <c r="C65" s="6" t="s">
        <v>10</v>
      </c>
      <c r="D65" s="10" t="s">
        <v>92</v>
      </c>
      <c r="E65" s="8" t="s">
        <v>339</v>
      </c>
      <c r="F65" s="16">
        <v>3</v>
      </c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/>
      <c r="B66" s="9" t="s">
        <v>84</v>
      </c>
      <c r="C66" s="6" t="s">
        <v>31</v>
      </c>
      <c r="D66" s="10" t="s">
        <v>92</v>
      </c>
      <c r="E66" s="8" t="s">
        <v>340</v>
      </c>
      <c r="F66" s="16">
        <v>4</v>
      </c>
      <c r="G66" s="99"/>
      <c r="H66" s="10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46.8" x14ac:dyDescent="0.25">
      <c r="A67" s="97"/>
      <c r="B67" s="9" t="s">
        <v>84</v>
      </c>
      <c r="C67" s="6" t="s">
        <v>77</v>
      </c>
      <c r="D67" s="10" t="s">
        <v>92</v>
      </c>
      <c r="E67" s="8" t="s">
        <v>341</v>
      </c>
      <c r="F67" s="16">
        <v>10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8"/>
      <c r="B68" s="9" t="s">
        <v>84</v>
      </c>
      <c r="C68" s="6" t="s">
        <v>33</v>
      </c>
      <c r="D68" s="10" t="s">
        <v>92</v>
      </c>
      <c r="E68" s="8" t="s">
        <v>342</v>
      </c>
      <c r="F68" s="16">
        <v>3</v>
      </c>
      <c r="G68" s="99"/>
      <c r="H68" s="10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62.4" x14ac:dyDescent="0.25">
      <c r="A69" s="97">
        <v>24</v>
      </c>
      <c r="B69" s="9" t="s">
        <v>84</v>
      </c>
      <c r="C69" s="6" t="s">
        <v>38</v>
      </c>
      <c r="D69" s="10" t="s">
        <v>92</v>
      </c>
      <c r="E69" s="8" t="s">
        <v>343</v>
      </c>
      <c r="F69" s="16">
        <v>15</v>
      </c>
      <c r="G69" s="99">
        <f>SUM(F69:F71)</f>
        <v>27</v>
      </c>
      <c r="H69" s="100" t="s">
        <v>510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/>
      <c r="B70" s="9" t="s">
        <v>84</v>
      </c>
      <c r="C70" s="6" t="s">
        <v>34</v>
      </c>
      <c r="D70" s="10" t="s">
        <v>92</v>
      </c>
      <c r="E70" s="8" t="s">
        <v>344</v>
      </c>
      <c r="F70" s="16">
        <v>2</v>
      </c>
      <c r="G70" s="99"/>
      <c r="H70" s="10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46.8" x14ac:dyDescent="0.25">
      <c r="A71" s="98"/>
      <c r="B71" s="9" t="s">
        <v>84</v>
      </c>
      <c r="C71" s="6" t="s">
        <v>35</v>
      </c>
      <c r="D71" s="10" t="s">
        <v>92</v>
      </c>
      <c r="E71" s="8" t="s">
        <v>345</v>
      </c>
      <c r="F71" s="16">
        <v>10</v>
      </c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93" customHeight="1" x14ac:dyDescent="0.25">
      <c r="A72" s="19">
        <v>25</v>
      </c>
      <c r="B72" s="9" t="s">
        <v>84</v>
      </c>
      <c r="C72" s="6" t="s">
        <v>35</v>
      </c>
      <c r="D72" s="10" t="s">
        <v>92</v>
      </c>
      <c r="E72" s="8" t="s">
        <v>374</v>
      </c>
      <c r="F72" s="16">
        <v>27</v>
      </c>
      <c r="G72" s="20">
        <f>SUM(F72:F72)</f>
        <v>27</v>
      </c>
      <c r="H72" s="21" t="s">
        <v>524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7">
        <v>26</v>
      </c>
      <c r="B73" s="9" t="s">
        <v>84</v>
      </c>
      <c r="C73" s="6" t="s">
        <v>35</v>
      </c>
      <c r="D73" s="10" t="s">
        <v>92</v>
      </c>
      <c r="E73" s="8" t="s">
        <v>346</v>
      </c>
      <c r="F73" s="16">
        <v>4</v>
      </c>
      <c r="G73" s="99">
        <f>SUM(F73:F75)</f>
        <v>27</v>
      </c>
      <c r="H73" s="100" t="s">
        <v>525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31.2" x14ac:dyDescent="0.25">
      <c r="A74" s="97"/>
      <c r="B74" s="9" t="s">
        <v>84</v>
      </c>
      <c r="C74" s="6" t="s">
        <v>8</v>
      </c>
      <c r="D74" s="10" t="s">
        <v>92</v>
      </c>
      <c r="E74" s="8" t="s">
        <v>347</v>
      </c>
      <c r="F74" s="16">
        <v>7</v>
      </c>
      <c r="G74" s="99"/>
      <c r="H74" s="10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62.4" x14ac:dyDescent="0.25">
      <c r="A75" s="97"/>
      <c r="B75" s="9" t="s">
        <v>84</v>
      </c>
      <c r="C75" s="6" t="s">
        <v>44</v>
      </c>
      <c r="D75" s="10" t="s">
        <v>92</v>
      </c>
      <c r="E75" s="8" t="s">
        <v>348</v>
      </c>
      <c r="F75" s="16">
        <v>16</v>
      </c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24.5" customHeight="1" x14ac:dyDescent="0.25">
      <c r="A76" s="19">
        <v>27</v>
      </c>
      <c r="B76" s="9" t="s">
        <v>84</v>
      </c>
      <c r="C76" s="6" t="s">
        <v>44</v>
      </c>
      <c r="D76" s="10" t="s">
        <v>92</v>
      </c>
      <c r="E76" s="8" t="s">
        <v>375</v>
      </c>
      <c r="F76" s="16">
        <v>27</v>
      </c>
      <c r="G76" s="20">
        <f>SUM(F76:F76)</f>
        <v>27</v>
      </c>
      <c r="H76" s="21" t="s">
        <v>526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62.4" x14ac:dyDescent="0.25">
      <c r="A77" s="97">
        <v>28</v>
      </c>
      <c r="B77" s="9" t="s">
        <v>84</v>
      </c>
      <c r="C77" s="6" t="s">
        <v>44</v>
      </c>
      <c r="D77" s="10" t="s">
        <v>92</v>
      </c>
      <c r="E77" s="8" t="s">
        <v>349</v>
      </c>
      <c r="F77" s="16">
        <v>15</v>
      </c>
      <c r="G77" s="99">
        <f>SUM(F77:F80)</f>
        <v>27</v>
      </c>
      <c r="H77" s="100" t="s">
        <v>527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/>
      <c r="B78" s="9" t="s">
        <v>84</v>
      </c>
      <c r="C78" s="6" t="s">
        <v>13</v>
      </c>
      <c r="D78" s="10" t="s">
        <v>92</v>
      </c>
      <c r="E78" s="8" t="s">
        <v>350</v>
      </c>
      <c r="F78" s="16">
        <v>4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7"/>
      <c r="B79" s="9" t="s">
        <v>84</v>
      </c>
      <c r="C79" s="6" t="s">
        <v>11</v>
      </c>
      <c r="D79" s="10" t="s">
        <v>92</v>
      </c>
      <c r="E79" s="8" t="s">
        <v>351</v>
      </c>
      <c r="F79" s="16">
        <v>3</v>
      </c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/>
      <c r="B80" s="9" t="s">
        <v>84</v>
      </c>
      <c r="C80" s="6" t="s">
        <v>93</v>
      </c>
      <c r="D80" s="10" t="s">
        <v>92</v>
      </c>
      <c r="E80" s="8" t="s">
        <v>352</v>
      </c>
      <c r="F80" s="16">
        <v>5</v>
      </c>
      <c r="G80" s="99"/>
      <c r="H80" s="10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46.8" x14ac:dyDescent="0.25">
      <c r="A81" s="97">
        <v>29</v>
      </c>
      <c r="B81" s="9" t="s">
        <v>84</v>
      </c>
      <c r="C81" s="6" t="s">
        <v>93</v>
      </c>
      <c r="D81" s="10" t="s">
        <v>92</v>
      </c>
      <c r="E81" s="8" t="s">
        <v>353</v>
      </c>
      <c r="F81" s="16">
        <v>16</v>
      </c>
      <c r="G81" s="99">
        <f>SUM(F81:F82)</f>
        <v>27</v>
      </c>
      <c r="H81" s="100" t="s">
        <v>528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31.2" x14ac:dyDescent="0.25">
      <c r="A82" s="98"/>
      <c r="B82" s="9" t="s">
        <v>84</v>
      </c>
      <c r="C82" s="6" t="s">
        <v>94</v>
      </c>
      <c r="D82" s="10" t="s">
        <v>92</v>
      </c>
      <c r="E82" s="8" t="s">
        <v>354</v>
      </c>
      <c r="F82" s="16">
        <v>11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46.8" x14ac:dyDescent="0.25">
      <c r="A83" s="97">
        <v>30</v>
      </c>
      <c r="B83" s="9" t="s">
        <v>84</v>
      </c>
      <c r="C83" s="6" t="s">
        <v>94</v>
      </c>
      <c r="D83" s="10" t="s">
        <v>92</v>
      </c>
      <c r="E83" s="8" t="s">
        <v>355</v>
      </c>
      <c r="F83" s="16">
        <v>16</v>
      </c>
      <c r="G83" s="99">
        <f>SUM(F83:F85)</f>
        <v>23</v>
      </c>
      <c r="H83" s="100" t="s">
        <v>532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/>
      <c r="B84" s="9" t="s">
        <v>84</v>
      </c>
      <c r="C84" s="6" t="s">
        <v>54</v>
      </c>
      <c r="D84" s="10" t="s">
        <v>92</v>
      </c>
      <c r="E84" s="8" t="s">
        <v>338</v>
      </c>
      <c r="F84" s="16">
        <v>2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35.25" customHeight="1" x14ac:dyDescent="0.25">
      <c r="A85" s="98"/>
      <c r="B85" s="9" t="s">
        <v>84</v>
      </c>
      <c r="C85" s="6" t="s">
        <v>95</v>
      </c>
      <c r="D85" s="10" t="s">
        <v>92</v>
      </c>
      <c r="E85" s="8" t="s">
        <v>356</v>
      </c>
      <c r="F85" s="16">
        <v>5</v>
      </c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75" customHeight="1" x14ac:dyDescent="0.3">
      <c r="A86" s="101" t="s">
        <v>15</v>
      </c>
      <c r="B86" s="101"/>
      <c r="C86" s="101"/>
      <c r="D86" s="101"/>
      <c r="E86" s="101"/>
      <c r="F86" s="24"/>
      <c r="G86" s="17">
        <v>1366</v>
      </c>
      <c r="H86" s="18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5.75" customHeight="1" x14ac:dyDescent="0.3">
      <c r="A87" s="102"/>
      <c r="B87" s="103"/>
      <c r="C87" s="103"/>
      <c r="D87" s="103"/>
      <c r="E87" s="103"/>
      <c r="F87" s="104"/>
      <c r="G87" s="104"/>
      <c r="H87" s="10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5.75" customHeight="1" x14ac:dyDescent="0.3">
      <c r="A88" s="106" t="s">
        <v>16</v>
      </c>
      <c r="B88" s="107"/>
      <c r="C88" s="107"/>
      <c r="D88" s="107"/>
      <c r="E88" s="107"/>
      <c r="F88" s="107"/>
      <c r="G88" s="107"/>
      <c r="H88" s="108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5.75" customHeight="1" x14ac:dyDescent="0.3">
      <c r="A89" s="106" t="s">
        <v>70</v>
      </c>
      <c r="B89" s="107"/>
      <c r="C89" s="107"/>
      <c r="D89" s="107"/>
      <c r="E89" s="107"/>
      <c r="F89" s="107"/>
      <c r="G89" s="107"/>
      <c r="H89" s="108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5.75" customHeight="1" x14ac:dyDescent="0.3">
      <c r="A90" s="109"/>
      <c r="B90" s="110"/>
      <c r="C90" s="110"/>
      <c r="D90" s="110"/>
      <c r="E90" s="110"/>
      <c r="F90" s="110"/>
      <c r="G90" s="110"/>
      <c r="H90" s="111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5.75" customHeight="1" x14ac:dyDescent="0.3">
      <c r="A91" s="22"/>
      <c r="B91" s="25"/>
      <c r="C91" s="25"/>
      <c r="D91" s="25"/>
      <c r="E91" s="25"/>
      <c r="F91" s="25"/>
      <c r="G91" s="25"/>
      <c r="H91" s="23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5.75" customHeight="1" x14ac:dyDescent="0.3">
      <c r="A92" s="83" t="s">
        <v>17</v>
      </c>
      <c r="B92" s="84"/>
      <c r="C92" s="84"/>
      <c r="D92" s="84"/>
      <c r="E92" s="84"/>
      <c r="F92" s="84"/>
      <c r="G92" s="84"/>
      <c r="H92" s="8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5.75" customHeight="1" x14ac:dyDescent="0.3">
      <c r="A93" s="86"/>
      <c r="B93" s="87"/>
      <c r="C93" s="87"/>
      <c r="D93" s="87"/>
      <c r="E93" s="87"/>
      <c r="F93" s="87"/>
      <c r="G93" s="87"/>
      <c r="H93" s="88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5.75" customHeight="1" x14ac:dyDescent="0.3">
      <c r="A94" s="12"/>
      <c r="B94" s="12"/>
      <c r="C94" s="12"/>
      <c r="D94" s="12"/>
      <c r="E94" s="12"/>
      <c r="F94" s="12"/>
      <c r="G94" s="12"/>
      <c r="H94" s="7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5.75" customHeight="1" x14ac:dyDescent="0.3">
      <c r="A95" s="12"/>
      <c r="B95" s="12"/>
      <c r="C95" s="12"/>
      <c r="D95" s="12"/>
      <c r="E95" s="12"/>
      <c r="F95" s="12"/>
      <c r="G95" s="12"/>
      <c r="H95" s="7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5.75" customHeight="1" x14ac:dyDescent="0.3">
      <c r="A96" s="12"/>
      <c r="B96" s="12"/>
      <c r="C96" s="12"/>
      <c r="D96" s="12"/>
      <c r="E96" s="12"/>
      <c r="F96" s="12"/>
      <c r="G96" s="12"/>
      <c r="H96" s="7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5.75" customHeight="1" x14ac:dyDescent="0.3">
      <c r="A97" s="12"/>
      <c r="B97" s="12"/>
      <c r="C97" s="12"/>
      <c r="D97" s="12"/>
      <c r="E97" s="12"/>
      <c r="F97" s="12"/>
      <c r="G97" s="12"/>
      <c r="H97" s="7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5.75" customHeight="1" x14ac:dyDescent="0.3">
      <c r="A98" s="12"/>
      <c r="B98" s="12"/>
      <c r="C98" s="12"/>
      <c r="D98" s="12"/>
      <c r="E98" s="12"/>
      <c r="F98" s="12"/>
      <c r="G98" s="12"/>
      <c r="H98" s="7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5.75" customHeight="1" x14ac:dyDescent="0.3">
      <c r="A99" s="12"/>
      <c r="B99" s="12"/>
      <c r="C99" s="12"/>
      <c r="D99" s="12"/>
      <c r="E99" s="12"/>
      <c r="F99" s="12"/>
      <c r="G99" s="12"/>
      <c r="H99" s="7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5.75" customHeight="1" x14ac:dyDescent="0.3">
      <c r="A100" s="12"/>
      <c r="B100" s="12"/>
      <c r="C100" s="12"/>
      <c r="D100" s="12"/>
      <c r="E100" s="12"/>
      <c r="F100" s="12"/>
      <c r="G100" s="12"/>
      <c r="H100" s="7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5.75" customHeight="1" x14ac:dyDescent="0.3">
      <c r="A101" s="12"/>
      <c r="B101" s="12"/>
      <c r="C101" s="12"/>
      <c r="D101" s="12"/>
      <c r="E101" s="12"/>
      <c r="F101" s="12"/>
      <c r="G101" s="12"/>
      <c r="H101" s="7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5.75" customHeight="1" x14ac:dyDescent="0.3">
      <c r="A102" s="12"/>
      <c r="B102" s="12"/>
      <c r="C102" s="12"/>
      <c r="D102" s="12"/>
      <c r="E102" s="12"/>
      <c r="F102" s="12"/>
      <c r="G102" s="12"/>
      <c r="H102" s="7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5.75" customHeight="1" x14ac:dyDescent="0.3">
      <c r="A103" s="12"/>
      <c r="B103" s="12"/>
      <c r="C103" s="12"/>
      <c r="D103" s="12"/>
      <c r="E103" s="12"/>
      <c r="F103" s="12"/>
      <c r="G103" s="12"/>
      <c r="H103" s="7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5.75" customHeight="1" x14ac:dyDescent="0.3">
      <c r="A104" s="12"/>
      <c r="B104" s="12"/>
      <c r="C104" s="12"/>
      <c r="D104" s="12"/>
      <c r="E104" s="12"/>
      <c r="F104" s="12"/>
      <c r="G104" s="12"/>
      <c r="H104" s="7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5.75" customHeight="1" x14ac:dyDescent="0.3">
      <c r="A105" s="12"/>
      <c r="B105" s="12"/>
      <c r="C105" s="12"/>
      <c r="D105" s="12"/>
      <c r="E105" s="12"/>
      <c r="F105" s="12"/>
      <c r="G105" s="12"/>
      <c r="H105" s="7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5.75" customHeight="1" x14ac:dyDescent="0.3">
      <c r="A106" s="12"/>
      <c r="B106" s="12"/>
      <c r="C106" s="12"/>
      <c r="D106" s="12"/>
      <c r="E106" s="12"/>
      <c r="F106" s="12"/>
      <c r="G106" s="12"/>
      <c r="H106" s="7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5.75" customHeight="1" x14ac:dyDescent="0.3">
      <c r="A107" s="12"/>
      <c r="B107" s="12"/>
      <c r="C107" s="12"/>
      <c r="D107" s="12"/>
      <c r="E107" s="12"/>
      <c r="F107" s="12"/>
      <c r="G107" s="12"/>
      <c r="H107" s="7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5.75" customHeight="1" x14ac:dyDescent="0.3">
      <c r="A108" s="12"/>
      <c r="B108" s="12"/>
      <c r="C108" s="12"/>
      <c r="D108" s="12"/>
      <c r="E108" s="12"/>
      <c r="F108" s="12"/>
      <c r="G108" s="12"/>
      <c r="H108" s="7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5.7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5.7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5.7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5.7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5.7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5.7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5.7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5.7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5.7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5.7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5.7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5.7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5.7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.7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.7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.7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.7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</sheetData>
  <autoFilter ref="A7:Y86" xr:uid="{00000000-0009-0000-0000-000001000000}"/>
  <mergeCells count="92">
    <mergeCell ref="A44:A46"/>
    <mergeCell ref="G44:G46"/>
    <mergeCell ref="H44:H46"/>
    <mergeCell ref="A1:H1"/>
    <mergeCell ref="A2:H2"/>
    <mergeCell ref="A3:H3"/>
    <mergeCell ref="A4:H4"/>
    <mergeCell ref="A5:H5"/>
    <mergeCell ref="A8:A9"/>
    <mergeCell ref="G8:G9"/>
    <mergeCell ref="H8:H9"/>
    <mergeCell ref="G30:G31"/>
    <mergeCell ref="H30:H31"/>
    <mergeCell ref="A32:A34"/>
    <mergeCell ref="A16:A18"/>
    <mergeCell ref="G16:G18"/>
    <mergeCell ref="A88:H88"/>
    <mergeCell ref="A89:H89"/>
    <mergeCell ref="A90:H90"/>
    <mergeCell ref="A92:H93"/>
    <mergeCell ref="A69:A71"/>
    <mergeCell ref="G69:G71"/>
    <mergeCell ref="H69:H71"/>
    <mergeCell ref="A81:A82"/>
    <mergeCell ref="G81:G82"/>
    <mergeCell ref="H81:H82"/>
    <mergeCell ref="A77:A80"/>
    <mergeCell ref="A86:E86"/>
    <mergeCell ref="A87:H87"/>
    <mergeCell ref="A83:A85"/>
    <mergeCell ref="G83:G85"/>
    <mergeCell ref="H83:H85"/>
    <mergeCell ref="G19:G21"/>
    <mergeCell ref="H19:H21"/>
    <mergeCell ref="A22:A23"/>
    <mergeCell ref="A57:A59"/>
    <mergeCell ref="G57:G59"/>
    <mergeCell ref="H57:H59"/>
    <mergeCell ref="G32:G34"/>
    <mergeCell ref="H32:H34"/>
    <mergeCell ref="A35:A36"/>
    <mergeCell ref="G35:G36"/>
    <mergeCell ref="A42:A43"/>
    <mergeCell ref="G42:G43"/>
    <mergeCell ref="H42:H43"/>
    <mergeCell ref="G40:G41"/>
    <mergeCell ref="H40:H41"/>
    <mergeCell ref="A40:A41"/>
    <mergeCell ref="A37:A39"/>
    <mergeCell ref="G37:G39"/>
    <mergeCell ref="H37:H39"/>
    <mergeCell ref="A30:A31"/>
    <mergeCell ref="H35:H36"/>
    <mergeCell ref="A10:A11"/>
    <mergeCell ref="G10:G11"/>
    <mergeCell ref="H10:H11"/>
    <mergeCell ref="A12:A13"/>
    <mergeCell ref="G12:G13"/>
    <mergeCell ref="H12:H13"/>
    <mergeCell ref="H14:H15"/>
    <mergeCell ref="A26:A27"/>
    <mergeCell ref="G26:G27"/>
    <mergeCell ref="H26:H27"/>
    <mergeCell ref="A28:A29"/>
    <mergeCell ref="G28:G29"/>
    <mergeCell ref="H28:H29"/>
    <mergeCell ref="G22:G23"/>
    <mergeCell ref="H22:H23"/>
    <mergeCell ref="A14:A15"/>
    <mergeCell ref="G14:G15"/>
    <mergeCell ref="A24:A25"/>
    <mergeCell ref="G24:G25"/>
    <mergeCell ref="H24:H25"/>
    <mergeCell ref="H16:H18"/>
    <mergeCell ref="A19:A21"/>
    <mergeCell ref="G77:G80"/>
    <mergeCell ref="H77:H80"/>
    <mergeCell ref="A73:A75"/>
    <mergeCell ref="G73:G75"/>
    <mergeCell ref="H73:H75"/>
    <mergeCell ref="A63:A68"/>
    <mergeCell ref="G63:G68"/>
    <mergeCell ref="H63:H68"/>
    <mergeCell ref="H47:H53"/>
    <mergeCell ref="A54:A56"/>
    <mergeCell ref="G54:G56"/>
    <mergeCell ref="H54:H56"/>
    <mergeCell ref="G60:G61"/>
    <mergeCell ref="H60:H61"/>
    <mergeCell ref="A60:A61"/>
    <mergeCell ref="A47:A53"/>
    <mergeCell ref="G47:G53"/>
  </mergeCells>
  <phoneticPr fontId="14" type="noConversion"/>
  <pageMargins left="0.7" right="0.7" top="0.75" bottom="0.75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F0"/>
    <outlinePr summaryBelow="0" summaryRight="0"/>
  </sheetPr>
  <dimension ref="A1:Y686"/>
  <sheetViews>
    <sheetView zoomScale="85" zoomScaleNormal="85" workbookViewId="0">
      <pane ySplit="7" topLeftCell="A126" activePane="bottomLeft" state="frozen"/>
      <selection activeCell="I66" sqref="I66"/>
      <selection pane="bottomLeft" activeCell="I66" sqref="I66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/>
      <c r="K3" s="12"/>
      <c r="L3" s="12">
        <v>208</v>
      </c>
      <c r="M3" s="12">
        <v>2570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96</v>
      </c>
      <c r="B4" s="115"/>
      <c r="C4" s="116"/>
      <c r="D4" s="116"/>
      <c r="E4" s="116"/>
      <c r="F4" s="116"/>
      <c r="G4" s="116"/>
      <c r="H4" s="116"/>
      <c r="I4" s="12"/>
      <c r="J4" s="12"/>
      <c r="K4" s="12"/>
      <c r="L4" s="12">
        <v>27</v>
      </c>
      <c r="M4" s="12">
        <v>54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98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>
        <f>L3/L4</f>
        <v>7.7037037037037033</v>
      </c>
      <c r="M5" s="12">
        <f>M3/M4</f>
        <v>47.592592592592595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32</v>
      </c>
      <c r="C8" s="6" t="s">
        <v>8</v>
      </c>
      <c r="D8" s="10" t="s">
        <v>100</v>
      </c>
      <c r="E8" s="8" t="s">
        <v>376</v>
      </c>
      <c r="F8" s="16">
        <v>27</v>
      </c>
      <c r="G8" s="99">
        <f>SUM(F8:F9)</f>
        <v>54</v>
      </c>
      <c r="H8" s="100" t="s">
        <v>499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 t="s">
        <v>69</v>
      </c>
      <c r="C9" s="6" t="s">
        <v>44</v>
      </c>
      <c r="D9" s="10" t="s">
        <v>107</v>
      </c>
      <c r="E9" s="8" t="s">
        <v>413</v>
      </c>
      <c r="F9" s="16">
        <v>27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32</v>
      </c>
      <c r="C10" s="6" t="s">
        <v>8</v>
      </c>
      <c r="D10" s="10" t="s">
        <v>100</v>
      </c>
      <c r="E10" s="8" t="s">
        <v>377</v>
      </c>
      <c r="F10" s="16">
        <v>27</v>
      </c>
      <c r="G10" s="99">
        <f>SUM(F10:F11)</f>
        <v>54</v>
      </c>
      <c r="H10" s="100" t="s">
        <v>500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 t="s">
        <v>69</v>
      </c>
      <c r="C11" s="6" t="s">
        <v>44</v>
      </c>
      <c r="D11" s="10" t="s">
        <v>107</v>
      </c>
      <c r="E11" s="8" t="s">
        <v>414</v>
      </c>
      <c r="F11" s="16">
        <v>27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 t="s">
        <v>32</v>
      </c>
      <c r="C12" s="6" t="s">
        <v>8</v>
      </c>
      <c r="D12" s="10" t="s">
        <v>100</v>
      </c>
      <c r="E12" s="8" t="s">
        <v>378</v>
      </c>
      <c r="F12" s="16">
        <v>13</v>
      </c>
      <c r="G12" s="99">
        <f>SUM(F12:F14)</f>
        <v>54</v>
      </c>
      <c r="H12" s="100" t="s">
        <v>501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7"/>
      <c r="B13" s="9" t="s">
        <v>87</v>
      </c>
      <c r="C13" s="6" t="s">
        <v>93</v>
      </c>
      <c r="D13" s="10" t="s">
        <v>101</v>
      </c>
      <c r="E13" s="8" t="s">
        <v>379</v>
      </c>
      <c r="F13" s="16">
        <v>14</v>
      </c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8"/>
      <c r="B14" s="9" t="s">
        <v>69</v>
      </c>
      <c r="C14" s="6" t="s">
        <v>44</v>
      </c>
      <c r="D14" s="10" t="s">
        <v>107</v>
      </c>
      <c r="E14" s="8" t="s">
        <v>415</v>
      </c>
      <c r="F14" s="16">
        <v>27</v>
      </c>
      <c r="G14" s="99"/>
      <c r="H14" s="10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7">
        <v>4</v>
      </c>
      <c r="B15" s="9" t="s">
        <v>87</v>
      </c>
      <c r="C15" s="6" t="s">
        <v>93</v>
      </c>
      <c r="D15" s="10" t="s">
        <v>101</v>
      </c>
      <c r="E15" s="8" t="s">
        <v>380</v>
      </c>
      <c r="F15" s="16">
        <v>27</v>
      </c>
      <c r="G15" s="99">
        <f>SUM(F15:F16)</f>
        <v>54</v>
      </c>
      <c r="H15" s="100" t="s">
        <v>502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8"/>
      <c r="B16" s="9" t="s">
        <v>69</v>
      </c>
      <c r="C16" s="6" t="s">
        <v>44</v>
      </c>
      <c r="D16" s="10" t="s">
        <v>107</v>
      </c>
      <c r="E16" s="8" t="s">
        <v>416</v>
      </c>
      <c r="F16" s="16">
        <v>27</v>
      </c>
      <c r="G16" s="99"/>
      <c r="H16" s="10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7">
        <v>5</v>
      </c>
      <c r="B17" s="9" t="s">
        <v>87</v>
      </c>
      <c r="C17" s="6" t="s">
        <v>93</v>
      </c>
      <c r="D17" s="10" t="s">
        <v>101</v>
      </c>
      <c r="E17" s="8" t="s">
        <v>381</v>
      </c>
      <c r="F17" s="16">
        <v>27</v>
      </c>
      <c r="G17" s="99">
        <f>SUM(F17:F18)</f>
        <v>54</v>
      </c>
      <c r="H17" s="100" t="s">
        <v>503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8"/>
      <c r="B18" s="9" t="s">
        <v>69</v>
      </c>
      <c r="C18" s="6" t="s">
        <v>44</v>
      </c>
      <c r="D18" s="10" t="s">
        <v>107</v>
      </c>
      <c r="E18" s="8" t="s">
        <v>417</v>
      </c>
      <c r="F18" s="16">
        <v>27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7">
        <v>6</v>
      </c>
      <c r="B19" s="9" t="s">
        <v>87</v>
      </c>
      <c r="C19" s="6" t="s">
        <v>93</v>
      </c>
      <c r="D19" s="10" t="s">
        <v>101</v>
      </c>
      <c r="E19" s="8" t="s">
        <v>382</v>
      </c>
      <c r="F19" s="16">
        <v>27</v>
      </c>
      <c r="G19" s="99">
        <f>SUM(F19:F20)</f>
        <v>54</v>
      </c>
      <c r="H19" s="100" t="s">
        <v>504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8"/>
      <c r="B20" s="9" t="s">
        <v>69</v>
      </c>
      <c r="C20" s="6" t="s">
        <v>44</v>
      </c>
      <c r="D20" s="10" t="s">
        <v>107</v>
      </c>
      <c r="E20" s="8" t="s">
        <v>418</v>
      </c>
      <c r="F20" s="16">
        <v>27</v>
      </c>
      <c r="G20" s="99"/>
      <c r="H20" s="10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7">
        <v>7</v>
      </c>
      <c r="B21" s="9" t="s">
        <v>87</v>
      </c>
      <c r="C21" s="6" t="s">
        <v>93</v>
      </c>
      <c r="D21" s="10" t="s">
        <v>101</v>
      </c>
      <c r="E21" s="8" t="s">
        <v>383</v>
      </c>
      <c r="F21" s="16">
        <v>27</v>
      </c>
      <c r="G21" s="99">
        <f>SUM(F21:F22)</f>
        <v>54</v>
      </c>
      <c r="H21" s="100" t="s">
        <v>505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8"/>
      <c r="B22" s="9" t="s">
        <v>69</v>
      </c>
      <c r="C22" s="6" t="s">
        <v>44</v>
      </c>
      <c r="D22" s="10" t="s">
        <v>107</v>
      </c>
      <c r="E22" s="8" t="s">
        <v>419</v>
      </c>
      <c r="F22" s="16">
        <v>27</v>
      </c>
      <c r="G22" s="99"/>
      <c r="H22" s="10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7">
        <v>8</v>
      </c>
      <c r="B23" s="9" t="s">
        <v>87</v>
      </c>
      <c r="C23" s="6" t="s">
        <v>93</v>
      </c>
      <c r="D23" s="10" t="s">
        <v>101</v>
      </c>
      <c r="E23" s="8" t="s">
        <v>384</v>
      </c>
      <c r="F23" s="16">
        <v>27</v>
      </c>
      <c r="G23" s="99">
        <f>SUM(F23:F24)</f>
        <v>54</v>
      </c>
      <c r="H23" s="100" t="s">
        <v>506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8"/>
      <c r="B24" s="9" t="s">
        <v>69</v>
      </c>
      <c r="C24" s="6" t="s">
        <v>44</v>
      </c>
      <c r="D24" s="10" t="s">
        <v>107</v>
      </c>
      <c r="E24" s="8" t="s">
        <v>420</v>
      </c>
      <c r="F24" s="16">
        <v>27</v>
      </c>
      <c r="G24" s="99"/>
      <c r="H24" s="10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7">
        <v>9</v>
      </c>
      <c r="B25" s="9" t="s">
        <v>87</v>
      </c>
      <c r="C25" s="6" t="s">
        <v>93</v>
      </c>
      <c r="D25" s="10" t="s">
        <v>101</v>
      </c>
      <c r="E25" s="8" t="s">
        <v>385</v>
      </c>
      <c r="F25" s="16">
        <v>27</v>
      </c>
      <c r="G25" s="99">
        <f>SUM(F25:F26)</f>
        <v>54</v>
      </c>
      <c r="H25" s="100" t="s">
        <v>507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8"/>
      <c r="B26" s="9" t="s">
        <v>69</v>
      </c>
      <c r="C26" s="6" t="s">
        <v>44</v>
      </c>
      <c r="D26" s="10" t="s">
        <v>107</v>
      </c>
      <c r="E26" s="8" t="s">
        <v>421</v>
      </c>
      <c r="F26" s="16">
        <v>27</v>
      </c>
      <c r="G26" s="99"/>
      <c r="H26" s="10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7">
        <v>10</v>
      </c>
      <c r="B27" s="9" t="s">
        <v>87</v>
      </c>
      <c r="C27" s="6" t="s">
        <v>93</v>
      </c>
      <c r="D27" s="10" t="s">
        <v>101</v>
      </c>
      <c r="E27" s="8" t="s">
        <v>386</v>
      </c>
      <c r="F27" s="16">
        <v>27</v>
      </c>
      <c r="G27" s="99">
        <f>SUM(F27:F28)</f>
        <v>54</v>
      </c>
      <c r="H27" s="100" t="s">
        <v>508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31.2" x14ac:dyDescent="0.25">
      <c r="A28" s="98"/>
      <c r="B28" s="9" t="s">
        <v>69</v>
      </c>
      <c r="C28" s="6" t="s">
        <v>44</v>
      </c>
      <c r="D28" s="10" t="s">
        <v>107</v>
      </c>
      <c r="E28" s="8" t="s">
        <v>422</v>
      </c>
      <c r="F28" s="16">
        <v>27</v>
      </c>
      <c r="G28" s="99"/>
      <c r="H28" s="10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7">
        <v>11</v>
      </c>
      <c r="B29" s="9" t="s">
        <v>87</v>
      </c>
      <c r="C29" s="6" t="s">
        <v>93</v>
      </c>
      <c r="D29" s="10" t="s">
        <v>101</v>
      </c>
      <c r="E29" s="8" t="s">
        <v>387</v>
      </c>
      <c r="F29" s="16">
        <v>4</v>
      </c>
      <c r="G29" s="99">
        <f>SUM(F29:F31)</f>
        <v>54</v>
      </c>
      <c r="H29" s="100" t="s">
        <v>509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/>
      <c r="B30" s="9" t="s">
        <v>32</v>
      </c>
      <c r="C30" s="6" t="s">
        <v>10</v>
      </c>
      <c r="D30" s="10" t="s">
        <v>102</v>
      </c>
      <c r="E30" s="8" t="s">
        <v>388</v>
      </c>
      <c r="F30" s="16">
        <v>23</v>
      </c>
      <c r="G30" s="99"/>
      <c r="H30" s="10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 t="s">
        <v>69</v>
      </c>
      <c r="C31" s="6" t="s">
        <v>44</v>
      </c>
      <c r="D31" s="10" t="s">
        <v>107</v>
      </c>
      <c r="E31" s="8" t="s">
        <v>423</v>
      </c>
      <c r="F31" s="16">
        <v>27</v>
      </c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12</v>
      </c>
      <c r="B32" s="9" t="s">
        <v>32</v>
      </c>
      <c r="C32" s="6" t="s">
        <v>10</v>
      </c>
      <c r="D32" s="10" t="s">
        <v>102</v>
      </c>
      <c r="E32" s="8" t="s">
        <v>389</v>
      </c>
      <c r="F32" s="16">
        <v>9</v>
      </c>
      <c r="G32" s="99">
        <f>SUM(F32:F34)</f>
        <v>54</v>
      </c>
      <c r="H32" s="100" t="s">
        <v>510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7"/>
      <c r="B33" s="9" t="s">
        <v>32</v>
      </c>
      <c r="C33" s="6" t="s">
        <v>104</v>
      </c>
      <c r="D33" s="10" t="s">
        <v>103</v>
      </c>
      <c r="E33" s="8" t="s">
        <v>391</v>
      </c>
      <c r="F33" s="16">
        <v>18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/>
      <c r="B34" s="9" t="s">
        <v>69</v>
      </c>
      <c r="C34" s="6" t="s">
        <v>44</v>
      </c>
      <c r="D34" s="10" t="s">
        <v>107</v>
      </c>
      <c r="E34" s="8" t="s">
        <v>424</v>
      </c>
      <c r="F34" s="16">
        <v>27</v>
      </c>
      <c r="G34" s="99"/>
      <c r="H34" s="10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7">
        <v>13</v>
      </c>
      <c r="B35" s="9" t="s">
        <v>32</v>
      </c>
      <c r="C35" s="6" t="s">
        <v>104</v>
      </c>
      <c r="D35" s="10" t="s">
        <v>103</v>
      </c>
      <c r="E35" s="8" t="s">
        <v>392</v>
      </c>
      <c r="F35" s="16">
        <v>27</v>
      </c>
      <c r="G35" s="99">
        <f>SUM(F35:F36)</f>
        <v>54</v>
      </c>
      <c r="H35" s="100" t="s">
        <v>511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31.2" x14ac:dyDescent="0.25">
      <c r="A36" s="98"/>
      <c r="B36" s="9" t="s">
        <v>69</v>
      </c>
      <c r="C36" s="6" t="s">
        <v>44</v>
      </c>
      <c r="D36" s="10" t="s">
        <v>107</v>
      </c>
      <c r="E36" s="8" t="s">
        <v>425</v>
      </c>
      <c r="F36" s="16">
        <v>27</v>
      </c>
      <c r="G36" s="99"/>
      <c r="H36" s="100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31.2" x14ac:dyDescent="0.25">
      <c r="A37" s="97">
        <v>14</v>
      </c>
      <c r="B37" s="9" t="s">
        <v>32</v>
      </c>
      <c r="C37" s="6" t="s">
        <v>104</v>
      </c>
      <c r="D37" s="10" t="s">
        <v>103</v>
      </c>
      <c r="E37" s="8" t="s">
        <v>393</v>
      </c>
      <c r="F37" s="16">
        <v>27</v>
      </c>
      <c r="G37" s="99">
        <f t="shared" ref="G37" si="0">SUM(F37:F39)</f>
        <v>54</v>
      </c>
      <c r="H37" s="100" t="s">
        <v>512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/>
      <c r="B38" s="9" t="s">
        <v>69</v>
      </c>
      <c r="C38" s="6" t="s">
        <v>44</v>
      </c>
      <c r="D38" s="10" t="s">
        <v>107</v>
      </c>
      <c r="E38" s="8" t="s">
        <v>426</v>
      </c>
      <c r="F38" s="16">
        <v>3</v>
      </c>
      <c r="G38" s="99"/>
      <c r="H38" s="100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 t="s">
        <v>69</v>
      </c>
      <c r="C39" s="6" t="s">
        <v>12</v>
      </c>
      <c r="D39" s="10" t="s">
        <v>107</v>
      </c>
      <c r="E39" s="8" t="s">
        <v>427</v>
      </c>
      <c r="F39" s="16">
        <v>24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31.2" x14ac:dyDescent="0.25">
      <c r="A40" s="97">
        <v>15</v>
      </c>
      <c r="B40" s="9" t="s">
        <v>32</v>
      </c>
      <c r="C40" s="6" t="s">
        <v>104</v>
      </c>
      <c r="D40" s="10" t="s">
        <v>103</v>
      </c>
      <c r="E40" s="8" t="s">
        <v>394</v>
      </c>
      <c r="F40" s="16">
        <v>27</v>
      </c>
      <c r="G40" s="99">
        <f t="shared" ref="G40" si="1">SUM(F40:F41)</f>
        <v>54</v>
      </c>
      <c r="H40" s="100" t="s">
        <v>513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 t="s">
        <v>69</v>
      </c>
      <c r="C41" s="6" t="s">
        <v>12</v>
      </c>
      <c r="D41" s="10" t="s">
        <v>107</v>
      </c>
      <c r="E41" s="8" t="s">
        <v>428</v>
      </c>
      <c r="F41" s="16">
        <v>27</v>
      </c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31.2" x14ac:dyDescent="0.25">
      <c r="A42" s="97">
        <v>16</v>
      </c>
      <c r="B42" s="9" t="s">
        <v>32</v>
      </c>
      <c r="C42" s="6" t="s">
        <v>104</v>
      </c>
      <c r="D42" s="10" t="s">
        <v>103</v>
      </c>
      <c r="E42" s="8" t="s">
        <v>395</v>
      </c>
      <c r="F42" s="16">
        <v>14</v>
      </c>
      <c r="G42" s="99">
        <f t="shared" ref="G42" si="2">SUM(F42:F48)</f>
        <v>54</v>
      </c>
      <c r="H42" s="100" t="s">
        <v>514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7"/>
      <c r="B43" s="9" t="s">
        <v>32</v>
      </c>
      <c r="C43" s="6" t="s">
        <v>77</v>
      </c>
      <c r="D43" s="10" t="s">
        <v>105</v>
      </c>
      <c r="E43" s="8" t="s">
        <v>396</v>
      </c>
      <c r="F43" s="16">
        <v>13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/>
      <c r="B44" s="9" t="s">
        <v>69</v>
      </c>
      <c r="C44" s="6" t="s">
        <v>35</v>
      </c>
      <c r="D44" s="10" t="s">
        <v>108</v>
      </c>
      <c r="E44" s="8" t="s">
        <v>434</v>
      </c>
      <c r="F44" s="16">
        <v>2</v>
      </c>
      <c r="G44" s="99"/>
      <c r="H44" s="10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/>
      <c r="B45" s="9"/>
      <c r="C45" s="6" t="s">
        <v>412</v>
      </c>
      <c r="D45" s="10" t="s">
        <v>107</v>
      </c>
      <c r="E45" s="26">
        <v>2116210701205</v>
      </c>
      <c r="F45" s="16">
        <v>1</v>
      </c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/>
      <c r="B46" s="9"/>
      <c r="C46" s="6" t="s">
        <v>411</v>
      </c>
      <c r="D46" s="10" t="s">
        <v>107</v>
      </c>
      <c r="E46" s="8" t="s">
        <v>410</v>
      </c>
      <c r="F46" s="16">
        <v>2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31.2" x14ac:dyDescent="0.25">
      <c r="A47" s="97"/>
      <c r="B47" s="9" t="s">
        <v>69</v>
      </c>
      <c r="C47" s="6" t="s">
        <v>12</v>
      </c>
      <c r="D47" s="10" t="s">
        <v>107</v>
      </c>
      <c r="E47" s="8" t="s">
        <v>429</v>
      </c>
      <c r="F47" s="16">
        <v>16</v>
      </c>
      <c r="G47" s="99"/>
      <c r="H47" s="10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46.8" x14ac:dyDescent="0.25">
      <c r="A48" s="98"/>
      <c r="B48" s="9" t="s">
        <v>69</v>
      </c>
      <c r="C48" s="6" t="s">
        <v>412</v>
      </c>
      <c r="D48" s="10" t="s">
        <v>107</v>
      </c>
      <c r="E48" s="8" t="s">
        <v>430</v>
      </c>
      <c r="F48" s="16">
        <v>6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17</v>
      </c>
      <c r="B49" s="9" t="s">
        <v>32</v>
      </c>
      <c r="C49" s="6" t="s">
        <v>77</v>
      </c>
      <c r="D49" s="10" t="s">
        <v>105</v>
      </c>
      <c r="E49" s="8" t="s">
        <v>397</v>
      </c>
      <c r="F49" s="16">
        <v>27</v>
      </c>
      <c r="G49" s="99">
        <f t="shared" ref="G49" si="3">SUM(F49:F50)</f>
        <v>54</v>
      </c>
      <c r="H49" s="100" t="s">
        <v>515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8"/>
      <c r="B50" s="9" t="s">
        <v>69</v>
      </c>
      <c r="C50" s="6" t="s">
        <v>35</v>
      </c>
      <c r="D50" s="10" t="s">
        <v>108</v>
      </c>
      <c r="E50" s="8" t="s">
        <v>435</v>
      </c>
      <c r="F50" s="16">
        <v>27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>
        <v>18</v>
      </c>
      <c r="B51" s="9" t="s">
        <v>32</v>
      </c>
      <c r="C51" s="6" t="s">
        <v>77</v>
      </c>
      <c r="D51" s="10" t="s">
        <v>105</v>
      </c>
      <c r="E51" s="8" t="s">
        <v>398</v>
      </c>
      <c r="F51" s="16">
        <v>27</v>
      </c>
      <c r="G51" s="99">
        <f t="shared" ref="G51" si="4">SUM(F51:F52)</f>
        <v>54</v>
      </c>
      <c r="H51" s="100" t="s">
        <v>516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8"/>
      <c r="B52" s="9" t="s">
        <v>69</v>
      </c>
      <c r="C52" s="6" t="s">
        <v>35</v>
      </c>
      <c r="D52" s="10" t="s">
        <v>108</v>
      </c>
      <c r="E52" s="8" t="s">
        <v>436</v>
      </c>
      <c r="F52" s="16">
        <v>27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7">
        <v>19</v>
      </c>
      <c r="B53" s="9" t="s">
        <v>32</v>
      </c>
      <c r="C53" s="6" t="s">
        <v>77</v>
      </c>
      <c r="D53" s="10" t="s">
        <v>105</v>
      </c>
      <c r="E53" s="26" t="s">
        <v>399</v>
      </c>
      <c r="F53" s="16">
        <v>27</v>
      </c>
      <c r="G53" s="99">
        <f t="shared" ref="G53" si="5">SUM(F53:F54)</f>
        <v>54</v>
      </c>
      <c r="H53" s="100" t="s">
        <v>517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8"/>
      <c r="B54" s="9" t="s">
        <v>69</v>
      </c>
      <c r="C54" s="6" t="s">
        <v>35</v>
      </c>
      <c r="D54" s="10" t="s">
        <v>108</v>
      </c>
      <c r="E54" s="8" t="s">
        <v>437</v>
      </c>
      <c r="F54" s="16">
        <v>27</v>
      </c>
      <c r="G54" s="99"/>
      <c r="H54" s="10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>
        <v>20</v>
      </c>
      <c r="B55" s="9" t="s">
        <v>32</v>
      </c>
      <c r="C55" s="6" t="s">
        <v>77</v>
      </c>
      <c r="D55" s="10" t="s">
        <v>105</v>
      </c>
      <c r="E55" s="26" t="s">
        <v>400</v>
      </c>
      <c r="F55" s="16">
        <v>27</v>
      </c>
      <c r="G55" s="99">
        <f t="shared" ref="G55" si="6">SUM(F55:F56)</f>
        <v>54</v>
      </c>
      <c r="H55" s="100" t="s">
        <v>518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8"/>
      <c r="B56" s="9" t="s">
        <v>69</v>
      </c>
      <c r="C56" s="6" t="s">
        <v>35</v>
      </c>
      <c r="D56" s="10" t="s">
        <v>108</v>
      </c>
      <c r="E56" s="8" t="s">
        <v>438</v>
      </c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21</v>
      </c>
      <c r="B57" s="9" t="s">
        <v>32</v>
      </c>
      <c r="C57" s="6" t="s">
        <v>77</v>
      </c>
      <c r="D57" s="10" t="s">
        <v>105</v>
      </c>
      <c r="E57" s="26" t="s">
        <v>401</v>
      </c>
      <c r="F57" s="16">
        <v>27</v>
      </c>
      <c r="G57" s="99">
        <f t="shared" ref="G57" si="7">SUM(F57:F58)</f>
        <v>54</v>
      </c>
      <c r="H57" s="100" t="s">
        <v>519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8"/>
      <c r="B58" s="9" t="s">
        <v>69</v>
      </c>
      <c r="C58" s="6" t="s">
        <v>35</v>
      </c>
      <c r="D58" s="10" t="s">
        <v>108</v>
      </c>
      <c r="E58" s="8" t="s">
        <v>439</v>
      </c>
      <c r="F58" s="16">
        <v>27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7">
        <v>22</v>
      </c>
      <c r="B59" s="9" t="s">
        <v>32</v>
      </c>
      <c r="C59" s="6" t="s">
        <v>77</v>
      </c>
      <c r="D59" s="10" t="s">
        <v>105</v>
      </c>
      <c r="E59" s="26" t="s">
        <v>402</v>
      </c>
      <c r="F59" s="16">
        <v>27</v>
      </c>
      <c r="G59" s="99">
        <f t="shared" ref="G59" si="8">SUM(F59:F60)</f>
        <v>54</v>
      </c>
      <c r="H59" s="100" t="s">
        <v>520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8"/>
      <c r="B60" s="9" t="s">
        <v>69</v>
      </c>
      <c r="C60" s="6" t="s">
        <v>35</v>
      </c>
      <c r="D60" s="10" t="s">
        <v>108</v>
      </c>
      <c r="E60" s="8" t="s">
        <v>440</v>
      </c>
      <c r="F60" s="16">
        <v>27</v>
      </c>
      <c r="G60" s="99"/>
      <c r="H60" s="10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7">
        <v>23</v>
      </c>
      <c r="B61" s="9" t="s">
        <v>32</v>
      </c>
      <c r="C61" s="6" t="s">
        <v>77</v>
      </c>
      <c r="D61" s="10" t="s">
        <v>105</v>
      </c>
      <c r="E61" s="26" t="s">
        <v>403</v>
      </c>
      <c r="F61" s="16">
        <v>12</v>
      </c>
      <c r="G61" s="99">
        <f t="shared" ref="G61" si="9">SUM(F61:F63)</f>
        <v>54</v>
      </c>
      <c r="H61" s="100" t="s">
        <v>521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/>
      <c r="B62" s="9" t="s">
        <v>32</v>
      </c>
      <c r="C62" s="6" t="s">
        <v>9</v>
      </c>
      <c r="D62" s="10" t="s">
        <v>106</v>
      </c>
      <c r="E62" s="8" t="s">
        <v>404</v>
      </c>
      <c r="F62" s="16">
        <v>15</v>
      </c>
      <c r="G62" s="99"/>
      <c r="H62" s="100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 t="s">
        <v>69</v>
      </c>
      <c r="C63" s="6" t="s">
        <v>35</v>
      </c>
      <c r="D63" s="10" t="s">
        <v>108</v>
      </c>
      <c r="E63" s="8" t="s">
        <v>441</v>
      </c>
      <c r="F63" s="16">
        <v>27</v>
      </c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24</v>
      </c>
      <c r="B64" s="9" t="s">
        <v>32</v>
      </c>
      <c r="C64" s="6" t="s">
        <v>9</v>
      </c>
      <c r="D64" s="10" t="s">
        <v>106</v>
      </c>
      <c r="E64" s="8" t="s">
        <v>405</v>
      </c>
      <c r="F64" s="16">
        <v>27</v>
      </c>
      <c r="G64" s="99">
        <f t="shared" ref="G64" si="10">SUM(F64:F65)</f>
        <v>54</v>
      </c>
      <c r="H64" s="100" t="s">
        <v>522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 t="s">
        <v>69</v>
      </c>
      <c r="C65" s="6" t="s">
        <v>35</v>
      </c>
      <c r="D65" s="10" t="s">
        <v>108</v>
      </c>
      <c r="E65" s="8" t="s">
        <v>442</v>
      </c>
      <c r="F65" s="16">
        <v>27</v>
      </c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25</v>
      </c>
      <c r="B66" s="9" t="s">
        <v>69</v>
      </c>
      <c r="C66" s="6" t="s">
        <v>35</v>
      </c>
      <c r="D66" s="10" t="s">
        <v>108</v>
      </c>
      <c r="E66" s="8" t="s">
        <v>443</v>
      </c>
      <c r="F66" s="16">
        <v>27</v>
      </c>
      <c r="G66" s="99">
        <f t="shared" ref="G66" si="11">SUM(F66:F68)</f>
        <v>54</v>
      </c>
      <c r="H66" s="100" t="s">
        <v>523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31.2" x14ac:dyDescent="0.25">
      <c r="A67" s="97"/>
      <c r="B67" s="9" t="s">
        <v>32</v>
      </c>
      <c r="C67" s="6" t="s">
        <v>9</v>
      </c>
      <c r="D67" s="10" t="s">
        <v>106</v>
      </c>
      <c r="E67" s="8" t="s">
        <v>406</v>
      </c>
      <c r="F67" s="16">
        <v>24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8"/>
      <c r="B68" s="9" t="s">
        <v>69</v>
      </c>
      <c r="C68" s="6" t="s">
        <v>54</v>
      </c>
      <c r="D68" s="10" t="s">
        <v>111</v>
      </c>
      <c r="E68" s="8" t="s">
        <v>481</v>
      </c>
      <c r="F68" s="16">
        <v>3</v>
      </c>
      <c r="G68" s="99"/>
      <c r="H68" s="10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46.8" x14ac:dyDescent="0.25">
      <c r="A69" s="97">
        <v>26</v>
      </c>
      <c r="B69" s="9" t="s">
        <v>69</v>
      </c>
      <c r="C69" s="6" t="s">
        <v>35</v>
      </c>
      <c r="D69" s="10" t="s">
        <v>108</v>
      </c>
      <c r="E69" s="8" t="s">
        <v>444</v>
      </c>
      <c r="F69" s="16">
        <v>27</v>
      </c>
      <c r="G69" s="99">
        <f t="shared" ref="G69" si="12">SUM(F69:F70)</f>
        <v>54</v>
      </c>
      <c r="H69" s="100" t="s">
        <v>524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8"/>
      <c r="B70" s="9" t="s">
        <v>69</v>
      </c>
      <c r="C70" s="6" t="s">
        <v>54</v>
      </c>
      <c r="D70" s="10" t="s">
        <v>111</v>
      </c>
      <c r="E70" s="8" t="s">
        <v>482</v>
      </c>
      <c r="F70" s="16">
        <v>27</v>
      </c>
      <c r="G70" s="99"/>
      <c r="H70" s="10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31.2" x14ac:dyDescent="0.25">
      <c r="A71" s="117">
        <v>27</v>
      </c>
      <c r="B71" s="9"/>
      <c r="C71" s="6" t="s">
        <v>431</v>
      </c>
      <c r="D71" s="10" t="s">
        <v>108</v>
      </c>
      <c r="E71" s="8" t="s">
        <v>433</v>
      </c>
      <c r="F71" s="16">
        <v>9</v>
      </c>
      <c r="G71" s="119">
        <f>SUM(F71:F74)</f>
        <v>54</v>
      </c>
      <c r="H71" s="122" t="s">
        <v>525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53.25" customHeight="1" x14ac:dyDescent="0.25">
      <c r="A72" s="118"/>
      <c r="B72" s="9" t="s">
        <v>69</v>
      </c>
      <c r="C72" s="6" t="s">
        <v>431</v>
      </c>
      <c r="D72" s="10" t="s">
        <v>108</v>
      </c>
      <c r="E72" s="8" t="s">
        <v>432</v>
      </c>
      <c r="F72" s="16">
        <v>11</v>
      </c>
      <c r="G72" s="120"/>
      <c r="H72" s="12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118"/>
      <c r="B73" s="9" t="s">
        <v>32</v>
      </c>
      <c r="C73" s="6" t="s">
        <v>35</v>
      </c>
      <c r="D73" s="10" t="s">
        <v>109</v>
      </c>
      <c r="E73" s="8" t="s">
        <v>445</v>
      </c>
      <c r="F73" s="16">
        <v>7</v>
      </c>
      <c r="G73" s="120"/>
      <c r="H73" s="12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31.2" x14ac:dyDescent="0.25">
      <c r="A74" s="97"/>
      <c r="B74" s="9" t="s">
        <v>69</v>
      </c>
      <c r="C74" s="6" t="s">
        <v>54</v>
      </c>
      <c r="D74" s="10" t="s">
        <v>111</v>
      </c>
      <c r="E74" s="8" t="s">
        <v>483</v>
      </c>
      <c r="F74" s="16">
        <v>27</v>
      </c>
      <c r="G74" s="121"/>
      <c r="H74" s="124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7">
        <v>28</v>
      </c>
      <c r="B75" s="9" t="s">
        <v>32</v>
      </c>
      <c r="C75" s="6" t="s">
        <v>35</v>
      </c>
      <c r="D75" s="10" t="s">
        <v>109</v>
      </c>
      <c r="E75" s="8" t="s">
        <v>446</v>
      </c>
      <c r="F75" s="16">
        <v>27</v>
      </c>
      <c r="G75" s="99">
        <f t="shared" ref="G75" si="13">SUM(F75:F76)</f>
        <v>54</v>
      </c>
      <c r="H75" s="100" t="s">
        <v>526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8"/>
      <c r="B76" s="9" t="s">
        <v>32</v>
      </c>
      <c r="C76" s="6" t="s">
        <v>54</v>
      </c>
      <c r="D76" s="10" t="s">
        <v>112</v>
      </c>
      <c r="E76" s="8" t="s">
        <v>488</v>
      </c>
      <c r="F76" s="16">
        <v>27</v>
      </c>
      <c r="G76" s="99"/>
      <c r="H76" s="10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7">
        <v>29</v>
      </c>
      <c r="B77" s="9" t="s">
        <v>32</v>
      </c>
      <c r="C77" s="6" t="s">
        <v>35</v>
      </c>
      <c r="D77" s="10" t="s">
        <v>109</v>
      </c>
      <c r="E77" s="8" t="s">
        <v>447</v>
      </c>
      <c r="F77" s="16">
        <v>27</v>
      </c>
      <c r="G77" s="99">
        <f t="shared" ref="G77" si="14">SUM(F77:F78)</f>
        <v>54</v>
      </c>
      <c r="H77" s="100" t="s">
        <v>527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8"/>
      <c r="B78" s="9" t="s">
        <v>32</v>
      </c>
      <c r="C78" s="6" t="s">
        <v>54</v>
      </c>
      <c r="D78" s="10" t="s">
        <v>112</v>
      </c>
      <c r="E78" s="8" t="s">
        <v>489</v>
      </c>
      <c r="F78" s="16">
        <v>27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7">
        <v>30</v>
      </c>
      <c r="B79" s="9" t="s">
        <v>32</v>
      </c>
      <c r="C79" s="6" t="s">
        <v>35</v>
      </c>
      <c r="D79" s="10" t="s">
        <v>109</v>
      </c>
      <c r="E79" s="8" t="s">
        <v>448</v>
      </c>
      <c r="F79" s="16">
        <v>27</v>
      </c>
      <c r="G79" s="99">
        <f t="shared" ref="G79" si="15">SUM(F79:F80)</f>
        <v>54</v>
      </c>
      <c r="H79" s="100" t="s">
        <v>528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8"/>
      <c r="B80" s="9" t="s">
        <v>32</v>
      </c>
      <c r="C80" s="6" t="s">
        <v>54</v>
      </c>
      <c r="D80" s="10" t="s">
        <v>112</v>
      </c>
      <c r="E80" s="8" t="s">
        <v>490</v>
      </c>
      <c r="F80" s="16">
        <v>27</v>
      </c>
      <c r="G80" s="99"/>
      <c r="H80" s="10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7">
        <v>31</v>
      </c>
      <c r="B81" s="9" t="s">
        <v>32</v>
      </c>
      <c r="C81" s="6" t="s">
        <v>35</v>
      </c>
      <c r="D81" s="10" t="s">
        <v>109</v>
      </c>
      <c r="E81" s="8" t="s">
        <v>449</v>
      </c>
      <c r="F81" s="16">
        <v>27</v>
      </c>
      <c r="G81" s="99">
        <f t="shared" ref="G81" si="16">SUM(F81:F82)</f>
        <v>54</v>
      </c>
      <c r="H81" s="100" t="s">
        <v>532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31.2" x14ac:dyDescent="0.25">
      <c r="A82" s="98"/>
      <c r="B82" s="9" t="s">
        <v>32</v>
      </c>
      <c r="C82" s="6" t="s">
        <v>54</v>
      </c>
      <c r="D82" s="10" t="s">
        <v>112</v>
      </c>
      <c r="E82" s="8" t="s">
        <v>491</v>
      </c>
      <c r="F82" s="16">
        <v>27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7">
        <v>32</v>
      </c>
      <c r="B83" s="9" t="s">
        <v>32</v>
      </c>
      <c r="C83" s="6" t="s">
        <v>35</v>
      </c>
      <c r="D83" s="10" t="s">
        <v>109</v>
      </c>
      <c r="E83" s="8" t="s">
        <v>450</v>
      </c>
      <c r="F83" s="16">
        <v>27</v>
      </c>
      <c r="G83" s="99">
        <f t="shared" ref="G83" si="17">SUM(F83:F84)</f>
        <v>50</v>
      </c>
      <c r="H83" s="100" t="s">
        <v>529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31.2" x14ac:dyDescent="0.25">
      <c r="A84" s="98"/>
      <c r="B84" s="9" t="s">
        <v>32</v>
      </c>
      <c r="C84" s="6" t="s">
        <v>54</v>
      </c>
      <c r="D84" s="10" t="s">
        <v>112</v>
      </c>
      <c r="E84" s="8" t="s">
        <v>492</v>
      </c>
      <c r="F84" s="16">
        <v>23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7">
        <v>33</v>
      </c>
      <c r="B85" s="9" t="s">
        <v>32</v>
      </c>
      <c r="C85" s="6" t="s">
        <v>35</v>
      </c>
      <c r="D85" s="10" t="s">
        <v>109</v>
      </c>
      <c r="E85" s="8" t="s">
        <v>451</v>
      </c>
      <c r="F85" s="16">
        <v>27</v>
      </c>
      <c r="G85" s="99">
        <f t="shared" ref="G85" si="18">SUM(F85:F86)</f>
        <v>54</v>
      </c>
      <c r="H85" s="100" t="s">
        <v>530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8"/>
      <c r="B86" s="9" t="s">
        <v>32</v>
      </c>
      <c r="C86" s="6" t="s">
        <v>34</v>
      </c>
      <c r="D86" s="10" t="s">
        <v>113</v>
      </c>
      <c r="E86" s="8" t="s">
        <v>458</v>
      </c>
      <c r="F86" s="16">
        <v>27</v>
      </c>
      <c r="G86" s="99"/>
      <c r="H86" s="10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7">
        <v>34</v>
      </c>
      <c r="B87" s="9" t="s">
        <v>32</v>
      </c>
      <c r="C87" s="6" t="s">
        <v>35</v>
      </c>
      <c r="D87" s="10" t="s">
        <v>109</v>
      </c>
      <c r="E87" s="8" t="s">
        <v>452</v>
      </c>
      <c r="F87" s="16">
        <v>27</v>
      </c>
      <c r="G87" s="99">
        <f t="shared" ref="G87" si="19">SUM(F87:F88)</f>
        <v>54</v>
      </c>
      <c r="H87" s="100" t="s">
        <v>531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8"/>
      <c r="B88" s="9" t="s">
        <v>32</v>
      </c>
      <c r="C88" s="6" t="s">
        <v>34</v>
      </c>
      <c r="D88" s="10" t="s">
        <v>113</v>
      </c>
      <c r="E88" s="8" t="s">
        <v>459</v>
      </c>
      <c r="F88" s="16">
        <v>27</v>
      </c>
      <c r="G88" s="99"/>
      <c r="H88" s="100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7">
        <v>35</v>
      </c>
      <c r="B89" s="9" t="s">
        <v>32</v>
      </c>
      <c r="C89" s="6" t="s">
        <v>35</v>
      </c>
      <c r="D89" s="10" t="s">
        <v>109</v>
      </c>
      <c r="E89" s="8" t="s">
        <v>453</v>
      </c>
      <c r="F89" s="16">
        <v>27</v>
      </c>
      <c r="G89" s="99">
        <f t="shared" ref="G89" si="20">SUM(F89:F90)</f>
        <v>54</v>
      </c>
      <c r="H89" s="100" t="s">
        <v>533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31.2" x14ac:dyDescent="0.25">
      <c r="A90" s="98"/>
      <c r="B90" s="9" t="s">
        <v>32</v>
      </c>
      <c r="C90" s="6" t="s">
        <v>34</v>
      </c>
      <c r="D90" s="10" t="s">
        <v>113</v>
      </c>
      <c r="E90" s="8" t="s">
        <v>460</v>
      </c>
      <c r="F90" s="16">
        <v>27</v>
      </c>
      <c r="G90" s="99"/>
      <c r="H90" s="100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7">
        <v>36</v>
      </c>
      <c r="B91" s="9" t="s">
        <v>32</v>
      </c>
      <c r="C91" s="6" t="s">
        <v>35</v>
      </c>
      <c r="D91" s="10" t="s">
        <v>109</v>
      </c>
      <c r="E91" s="8" t="s">
        <v>454</v>
      </c>
      <c r="F91" s="16">
        <v>27</v>
      </c>
      <c r="G91" s="99">
        <f t="shared" ref="G91" si="21">SUM(F91:F92)</f>
        <v>54</v>
      </c>
      <c r="H91" s="100" t="s">
        <v>534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8"/>
      <c r="B92" s="9" t="s">
        <v>32</v>
      </c>
      <c r="C92" s="6" t="s">
        <v>34</v>
      </c>
      <c r="D92" s="10" t="s">
        <v>113</v>
      </c>
      <c r="E92" s="8" t="s">
        <v>461</v>
      </c>
      <c r="F92" s="16">
        <v>27</v>
      </c>
      <c r="G92" s="99"/>
      <c r="H92" s="10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31.2" x14ac:dyDescent="0.25">
      <c r="A93" s="97">
        <v>37</v>
      </c>
      <c r="B93" s="9" t="s">
        <v>32</v>
      </c>
      <c r="C93" s="6" t="s">
        <v>35</v>
      </c>
      <c r="D93" s="10" t="s">
        <v>109</v>
      </c>
      <c r="E93" s="8" t="s">
        <v>455</v>
      </c>
      <c r="F93" s="16">
        <v>23</v>
      </c>
      <c r="G93" s="99">
        <f t="shared" ref="G93" si="22">SUM(F93:F95)</f>
        <v>54</v>
      </c>
      <c r="H93" s="100" t="s">
        <v>535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/>
      <c r="B94" s="9" t="s">
        <v>69</v>
      </c>
      <c r="C94" s="6" t="s">
        <v>38</v>
      </c>
      <c r="D94" s="10" t="s">
        <v>110</v>
      </c>
      <c r="E94" s="8" t="s">
        <v>470</v>
      </c>
      <c r="F94" s="16">
        <v>4</v>
      </c>
      <c r="G94" s="99"/>
      <c r="H94" s="10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 t="s">
        <v>32</v>
      </c>
      <c r="C95" s="6" t="s">
        <v>34</v>
      </c>
      <c r="D95" s="10" t="s">
        <v>113</v>
      </c>
      <c r="E95" s="8" t="s">
        <v>462</v>
      </c>
      <c r="F95" s="16">
        <v>27</v>
      </c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38</v>
      </c>
      <c r="B96" s="9" t="s">
        <v>69</v>
      </c>
      <c r="C96" s="6" t="s">
        <v>38</v>
      </c>
      <c r="D96" s="10" t="s">
        <v>110</v>
      </c>
      <c r="E96" s="8" t="s">
        <v>471</v>
      </c>
      <c r="F96" s="16">
        <v>27</v>
      </c>
      <c r="G96" s="99">
        <f t="shared" ref="G96" si="23">SUM(F96:F98)</f>
        <v>54</v>
      </c>
      <c r="H96" s="100" t="s">
        <v>536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7"/>
      <c r="B97" s="9" t="s">
        <v>32</v>
      </c>
      <c r="C97" s="6" t="s">
        <v>34</v>
      </c>
      <c r="D97" s="10" t="s">
        <v>113</v>
      </c>
      <c r="E97" s="8" t="s">
        <v>463</v>
      </c>
      <c r="F97" s="16">
        <v>2</v>
      </c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8"/>
      <c r="B98" s="9" t="s">
        <v>32</v>
      </c>
      <c r="C98" s="6" t="s">
        <v>33</v>
      </c>
      <c r="D98" s="6" t="s">
        <v>114</v>
      </c>
      <c r="E98" s="8" t="s">
        <v>493</v>
      </c>
      <c r="F98" s="16">
        <v>25</v>
      </c>
      <c r="G98" s="99"/>
      <c r="H98" s="10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7">
        <v>39</v>
      </c>
      <c r="B99" s="9" t="s">
        <v>69</v>
      </c>
      <c r="C99" s="6" t="s">
        <v>38</v>
      </c>
      <c r="D99" s="10" t="s">
        <v>110</v>
      </c>
      <c r="E99" s="8" t="s">
        <v>472</v>
      </c>
      <c r="F99" s="16">
        <v>27</v>
      </c>
      <c r="G99" s="99">
        <f t="shared" ref="G99" si="24">SUM(F99:F100)</f>
        <v>54</v>
      </c>
      <c r="H99" s="100" t="s">
        <v>537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8"/>
      <c r="B100" s="9" t="s">
        <v>32</v>
      </c>
      <c r="C100" s="6" t="s">
        <v>33</v>
      </c>
      <c r="D100" s="6" t="s">
        <v>114</v>
      </c>
      <c r="E100" s="8" t="s">
        <v>494</v>
      </c>
      <c r="F100" s="16">
        <v>27</v>
      </c>
      <c r="G100" s="99"/>
      <c r="H100" s="10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7">
        <v>40</v>
      </c>
      <c r="B101" s="9" t="s">
        <v>69</v>
      </c>
      <c r="C101" s="6" t="s">
        <v>38</v>
      </c>
      <c r="D101" s="10" t="s">
        <v>110</v>
      </c>
      <c r="E101" s="8" t="s">
        <v>473</v>
      </c>
      <c r="F101" s="16">
        <v>27</v>
      </c>
      <c r="G101" s="99">
        <f t="shared" ref="G101" si="25">SUM(F101:F103)</f>
        <v>54</v>
      </c>
      <c r="H101" s="100" t="s">
        <v>538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/>
      <c r="B102" s="9" t="s">
        <v>32</v>
      </c>
      <c r="C102" s="6" t="s">
        <v>33</v>
      </c>
      <c r="D102" s="6" t="s">
        <v>114</v>
      </c>
      <c r="E102" s="8" t="s">
        <v>495</v>
      </c>
      <c r="F102" s="16">
        <v>15</v>
      </c>
      <c r="G102" s="99"/>
      <c r="H102" s="10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 t="s">
        <v>32</v>
      </c>
      <c r="C103" s="6" t="s">
        <v>36</v>
      </c>
      <c r="D103" s="6" t="s">
        <v>115</v>
      </c>
      <c r="E103" s="8" t="s">
        <v>496</v>
      </c>
      <c r="F103" s="16">
        <v>12</v>
      </c>
      <c r="G103" s="99"/>
      <c r="H103" s="100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41</v>
      </c>
      <c r="B104" s="9" t="s">
        <v>69</v>
      </c>
      <c r="C104" s="6" t="s">
        <v>38</v>
      </c>
      <c r="D104" s="10" t="s">
        <v>110</v>
      </c>
      <c r="E104" s="8" t="s">
        <v>474</v>
      </c>
      <c r="F104" s="16">
        <v>27</v>
      </c>
      <c r="G104" s="99">
        <f>SUM(F104:F105)</f>
        <v>54</v>
      </c>
      <c r="H104" s="100" t="s">
        <v>539</v>
      </c>
      <c r="I104" s="13"/>
      <c r="J104" s="13"/>
      <c r="K104" s="13"/>
      <c r="L104" s="13">
        <f>2570</f>
        <v>2570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 t="s">
        <v>69</v>
      </c>
      <c r="C105" s="6" t="s">
        <v>38</v>
      </c>
      <c r="D105" s="10" t="s">
        <v>110</v>
      </c>
      <c r="E105" s="8" t="s">
        <v>475</v>
      </c>
      <c r="F105" s="16">
        <v>27</v>
      </c>
      <c r="G105" s="99"/>
      <c r="H105" s="10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42</v>
      </c>
      <c r="B106" s="9" t="s">
        <v>69</v>
      </c>
      <c r="C106" s="6" t="s">
        <v>38</v>
      </c>
      <c r="D106" s="10" t="s">
        <v>110</v>
      </c>
      <c r="E106" s="8" t="s">
        <v>476</v>
      </c>
      <c r="F106" s="16">
        <v>27</v>
      </c>
      <c r="G106" s="99">
        <f t="shared" ref="G106" si="26">SUM(F106:F107)</f>
        <v>54</v>
      </c>
      <c r="H106" s="100" t="s">
        <v>540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 t="s">
        <v>32</v>
      </c>
      <c r="C107" s="6" t="s">
        <v>36</v>
      </c>
      <c r="D107" s="6" t="s">
        <v>115</v>
      </c>
      <c r="E107" s="8" t="s">
        <v>497</v>
      </c>
      <c r="F107" s="16">
        <v>27</v>
      </c>
      <c r="G107" s="99"/>
      <c r="H107" s="10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43</v>
      </c>
      <c r="B108" s="9" t="s">
        <v>69</v>
      </c>
      <c r="C108" s="6" t="s">
        <v>38</v>
      </c>
      <c r="D108" s="10" t="s">
        <v>110</v>
      </c>
      <c r="E108" s="8" t="s">
        <v>477</v>
      </c>
      <c r="F108" s="16">
        <v>27</v>
      </c>
      <c r="G108" s="99">
        <f t="shared" ref="G108" si="27">SUM(F108:F109)</f>
        <v>54</v>
      </c>
      <c r="H108" s="100" t="s">
        <v>541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 t="s">
        <v>32</v>
      </c>
      <c r="C109" s="6" t="s">
        <v>36</v>
      </c>
      <c r="D109" s="6" t="s">
        <v>115</v>
      </c>
      <c r="E109" s="8" t="s">
        <v>498</v>
      </c>
      <c r="F109" s="16">
        <v>27</v>
      </c>
      <c r="G109" s="99"/>
      <c r="H109" s="10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31.2" x14ac:dyDescent="0.25">
      <c r="A110" s="117">
        <v>44</v>
      </c>
      <c r="B110" s="9" t="s">
        <v>69</v>
      </c>
      <c r="C110" s="6" t="s">
        <v>38</v>
      </c>
      <c r="D110" s="10" t="s">
        <v>110</v>
      </c>
      <c r="E110" s="8" t="s">
        <v>478</v>
      </c>
      <c r="F110" s="16">
        <v>13</v>
      </c>
      <c r="G110" s="119">
        <f>SUM(F110:F115)</f>
        <v>45</v>
      </c>
      <c r="H110" s="122" t="s">
        <v>542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118"/>
      <c r="B111" s="9" t="s">
        <v>69</v>
      </c>
      <c r="C111" s="6" t="s">
        <v>468</v>
      </c>
      <c r="D111" s="10" t="s">
        <v>110</v>
      </c>
      <c r="E111" s="8" t="s">
        <v>469</v>
      </c>
      <c r="F111" s="16">
        <v>2</v>
      </c>
      <c r="G111" s="120"/>
      <c r="H111" s="12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118"/>
      <c r="B112" s="9" t="s">
        <v>69</v>
      </c>
      <c r="C112" s="6" t="s">
        <v>11</v>
      </c>
      <c r="D112" s="10" t="s">
        <v>124</v>
      </c>
      <c r="E112" s="8" t="s">
        <v>464</v>
      </c>
      <c r="F112" s="16">
        <v>2</v>
      </c>
      <c r="G112" s="120"/>
      <c r="H112" s="12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118"/>
      <c r="B113" s="9" t="s">
        <v>69</v>
      </c>
      <c r="C113" s="6" t="s">
        <v>13</v>
      </c>
      <c r="D113" s="10" t="s">
        <v>122</v>
      </c>
      <c r="E113" s="26">
        <v>2116210501021</v>
      </c>
      <c r="F113" s="16">
        <v>1</v>
      </c>
      <c r="G113" s="120"/>
      <c r="H113" s="12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118"/>
      <c r="B114" s="9" t="s">
        <v>32</v>
      </c>
      <c r="C114" s="6" t="s">
        <v>36</v>
      </c>
      <c r="D114" s="6" t="s">
        <v>115</v>
      </c>
      <c r="E114" s="26">
        <v>2116231601504</v>
      </c>
      <c r="F114" s="16">
        <v>1</v>
      </c>
      <c r="G114" s="120"/>
      <c r="H114" s="12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7"/>
      <c r="B115" s="9" t="s">
        <v>32</v>
      </c>
      <c r="C115" s="6" t="s">
        <v>11</v>
      </c>
      <c r="D115" s="10" t="s">
        <v>116</v>
      </c>
      <c r="E115" s="8" t="s">
        <v>465</v>
      </c>
      <c r="F115" s="16">
        <v>26</v>
      </c>
      <c r="G115" s="121"/>
      <c r="H115" s="12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45</v>
      </c>
      <c r="B116" s="9" t="s">
        <v>84</v>
      </c>
      <c r="C116" s="6" t="s">
        <v>120</v>
      </c>
      <c r="D116" s="10" t="s">
        <v>119</v>
      </c>
      <c r="E116" s="26">
        <v>2116225111122</v>
      </c>
      <c r="F116" s="16">
        <v>1</v>
      </c>
      <c r="G116" s="99">
        <f t="shared" ref="G116" si="28">SUM(F116:F122)</f>
        <v>46</v>
      </c>
      <c r="H116" s="100" t="s">
        <v>543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7"/>
      <c r="B117" s="9" t="s">
        <v>84</v>
      </c>
      <c r="C117" s="6" t="s">
        <v>54</v>
      </c>
      <c r="D117" s="10" t="s">
        <v>123</v>
      </c>
      <c r="E117" s="26">
        <v>2116181101113</v>
      </c>
      <c r="F117" s="16">
        <v>1</v>
      </c>
      <c r="G117" s="99"/>
      <c r="H117" s="10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/>
      <c r="B118" s="9" t="s">
        <v>84</v>
      </c>
      <c r="C118" s="6" t="s">
        <v>9</v>
      </c>
      <c r="D118" s="10" t="s">
        <v>123</v>
      </c>
      <c r="E118" s="26">
        <v>2116180601016</v>
      </c>
      <c r="F118" s="16">
        <v>1</v>
      </c>
      <c r="G118" s="99"/>
      <c r="H118" s="100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7"/>
      <c r="B119" s="9" t="s">
        <v>84</v>
      </c>
      <c r="C119" s="6" t="s">
        <v>44</v>
      </c>
      <c r="D119" s="10" t="s">
        <v>123</v>
      </c>
      <c r="E119" s="26">
        <v>2116190701701</v>
      </c>
      <c r="F119" s="16">
        <v>1</v>
      </c>
      <c r="G119" s="99"/>
      <c r="H119" s="100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/>
      <c r="B120" s="9" t="s">
        <v>20</v>
      </c>
      <c r="C120" s="6" t="s">
        <v>26</v>
      </c>
      <c r="D120" s="10" t="s">
        <v>121</v>
      </c>
      <c r="E120" s="8" t="s">
        <v>390</v>
      </c>
      <c r="F120" s="16">
        <v>3</v>
      </c>
      <c r="G120" s="99"/>
      <c r="H120" s="100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7"/>
      <c r="B121" s="9" t="s">
        <v>69</v>
      </c>
      <c r="C121" s="6" t="s">
        <v>54</v>
      </c>
      <c r="D121" s="10" t="s">
        <v>111</v>
      </c>
      <c r="E121" s="8" t="s">
        <v>484</v>
      </c>
      <c r="F121" s="16">
        <v>12</v>
      </c>
      <c r="G121" s="99"/>
      <c r="H121" s="100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8"/>
      <c r="B122" s="9" t="s">
        <v>32</v>
      </c>
      <c r="C122" s="6" t="s">
        <v>11</v>
      </c>
      <c r="D122" s="10" t="s">
        <v>116</v>
      </c>
      <c r="E122" s="8" t="s">
        <v>466</v>
      </c>
      <c r="F122" s="16">
        <v>27</v>
      </c>
      <c r="G122" s="99"/>
      <c r="H122" s="100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7">
        <v>46</v>
      </c>
      <c r="B123" s="9" t="s">
        <v>69</v>
      </c>
      <c r="C123" s="6" t="s">
        <v>54</v>
      </c>
      <c r="D123" s="10" t="s">
        <v>111</v>
      </c>
      <c r="E123" s="8" t="s">
        <v>485</v>
      </c>
      <c r="F123" s="16">
        <v>27</v>
      </c>
      <c r="G123" s="99">
        <f t="shared" ref="G123" si="29">SUM(F123:F125)</f>
        <v>54</v>
      </c>
      <c r="H123" s="100" t="s">
        <v>544</v>
      </c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/>
      <c r="B124" s="9" t="s">
        <v>32</v>
      </c>
      <c r="C124" s="6" t="s">
        <v>11</v>
      </c>
      <c r="D124" s="10" t="s">
        <v>116</v>
      </c>
      <c r="E124" s="8" t="s">
        <v>467</v>
      </c>
      <c r="F124" s="16">
        <v>8</v>
      </c>
      <c r="G124" s="99"/>
      <c r="H124" s="10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 t="s">
        <v>32</v>
      </c>
      <c r="C125" s="6" t="s">
        <v>13</v>
      </c>
      <c r="D125" s="10" t="s">
        <v>117</v>
      </c>
      <c r="E125" s="8" t="s">
        <v>407</v>
      </c>
      <c r="F125" s="16">
        <v>19</v>
      </c>
      <c r="G125" s="99"/>
      <c r="H125" s="10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47</v>
      </c>
      <c r="B126" s="9" t="s">
        <v>69</v>
      </c>
      <c r="C126" s="6" t="s">
        <v>54</v>
      </c>
      <c r="D126" s="10" t="s">
        <v>111</v>
      </c>
      <c r="E126" s="8" t="s">
        <v>486</v>
      </c>
      <c r="F126" s="16">
        <v>27</v>
      </c>
      <c r="G126" s="99">
        <f t="shared" ref="G126" si="30">SUM(F126:F127)</f>
        <v>54</v>
      </c>
      <c r="H126" s="100" t="s">
        <v>546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 t="s">
        <v>32</v>
      </c>
      <c r="C127" s="6" t="s">
        <v>13</v>
      </c>
      <c r="D127" s="10" t="s">
        <v>117</v>
      </c>
      <c r="E127" s="8" t="s">
        <v>408</v>
      </c>
      <c r="F127" s="16">
        <v>27</v>
      </c>
      <c r="G127" s="99"/>
      <c r="H127" s="100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117">
        <v>48</v>
      </c>
      <c r="B128" s="9" t="s">
        <v>69</v>
      </c>
      <c r="C128" s="6" t="s">
        <v>54</v>
      </c>
      <c r="D128" s="10" t="s">
        <v>111</v>
      </c>
      <c r="E128" s="8" t="s">
        <v>487</v>
      </c>
      <c r="F128" s="16">
        <v>11</v>
      </c>
      <c r="G128" s="119">
        <f>SUM(F128:F131)</f>
        <v>53</v>
      </c>
      <c r="H128" s="122" t="s">
        <v>545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09.2" x14ac:dyDescent="0.25">
      <c r="A129" s="118"/>
      <c r="B129" s="9" t="s">
        <v>69</v>
      </c>
      <c r="C129" s="6" t="s">
        <v>479</v>
      </c>
      <c r="D129" s="10" t="s">
        <v>111</v>
      </c>
      <c r="E129" s="8" t="s">
        <v>480</v>
      </c>
      <c r="F129" s="16">
        <v>11</v>
      </c>
      <c r="G129" s="120"/>
      <c r="H129" s="12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24.8" x14ac:dyDescent="0.25">
      <c r="A130" s="118"/>
      <c r="B130" s="9" t="s">
        <v>69</v>
      </c>
      <c r="C130" s="6" t="s">
        <v>457</v>
      </c>
      <c r="D130" s="10" t="s">
        <v>118</v>
      </c>
      <c r="E130" s="8" t="s">
        <v>456</v>
      </c>
      <c r="F130" s="16">
        <v>13</v>
      </c>
      <c r="G130" s="120"/>
      <c r="H130" s="12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31.2" x14ac:dyDescent="0.25">
      <c r="A131" s="97"/>
      <c r="B131" s="9" t="s">
        <v>32</v>
      </c>
      <c r="C131" s="6" t="s">
        <v>13</v>
      </c>
      <c r="D131" s="10" t="s">
        <v>117</v>
      </c>
      <c r="E131" s="8" t="s">
        <v>409</v>
      </c>
      <c r="F131" s="16">
        <v>18</v>
      </c>
      <c r="G131" s="121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75" customHeight="1" x14ac:dyDescent="0.3">
      <c r="A132" s="101" t="s">
        <v>15</v>
      </c>
      <c r="B132" s="101"/>
      <c r="C132" s="101"/>
      <c r="D132" s="101"/>
      <c r="E132" s="101"/>
      <c r="F132" s="24"/>
      <c r="G132" s="17">
        <v>2570</v>
      </c>
      <c r="H132" s="18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102"/>
      <c r="B133" s="103"/>
      <c r="C133" s="103"/>
      <c r="D133" s="103"/>
      <c r="E133" s="103"/>
      <c r="F133" s="104"/>
      <c r="G133" s="104"/>
      <c r="H133" s="10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06" t="s">
        <v>16</v>
      </c>
      <c r="B134" s="107"/>
      <c r="C134" s="107"/>
      <c r="D134" s="107"/>
      <c r="E134" s="107"/>
      <c r="F134" s="107"/>
      <c r="G134" s="107"/>
      <c r="H134" s="10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06" t="s">
        <v>70</v>
      </c>
      <c r="B135" s="107"/>
      <c r="C135" s="107"/>
      <c r="D135" s="107"/>
      <c r="E135" s="107"/>
      <c r="F135" s="107"/>
      <c r="G135" s="107"/>
      <c r="H135" s="108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09"/>
      <c r="B136" s="110"/>
      <c r="C136" s="110"/>
      <c r="D136" s="110"/>
      <c r="E136" s="110"/>
      <c r="F136" s="110"/>
      <c r="G136" s="110"/>
      <c r="H136" s="111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22"/>
      <c r="B137" s="25"/>
      <c r="C137" s="25"/>
      <c r="D137" s="25"/>
      <c r="E137" s="25"/>
      <c r="F137" s="25"/>
      <c r="G137" s="25"/>
      <c r="H137" s="23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83" t="s">
        <v>17</v>
      </c>
      <c r="B138" s="84"/>
      <c r="C138" s="84"/>
      <c r="D138" s="84"/>
      <c r="E138" s="84"/>
      <c r="F138" s="84"/>
      <c r="G138" s="84"/>
      <c r="H138" s="8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86"/>
      <c r="B139" s="87"/>
      <c r="C139" s="87"/>
      <c r="D139" s="87"/>
      <c r="E139" s="87"/>
      <c r="F139" s="87"/>
      <c r="G139" s="87"/>
      <c r="H139" s="88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</sheetData>
  <autoFilter ref="A7:Y132" xr:uid="{00000000-0009-0000-0000-000002000000}"/>
  <mergeCells count="155">
    <mergeCell ref="H110:H115"/>
    <mergeCell ref="H128:H131"/>
    <mergeCell ref="A87:A88"/>
    <mergeCell ref="G87:G88"/>
    <mergeCell ref="H87:H88"/>
    <mergeCell ref="G89:G90"/>
    <mergeCell ref="H89:H90"/>
    <mergeCell ref="A99:A100"/>
    <mergeCell ref="G99:G100"/>
    <mergeCell ref="H99:H100"/>
    <mergeCell ref="H106:H107"/>
    <mergeCell ref="A108:A109"/>
    <mergeCell ref="G108:G109"/>
    <mergeCell ref="H108:H109"/>
    <mergeCell ref="A101:A103"/>
    <mergeCell ref="G101:G103"/>
    <mergeCell ref="H101:H103"/>
    <mergeCell ref="A104:A105"/>
    <mergeCell ref="G104:G105"/>
    <mergeCell ref="H104:H105"/>
    <mergeCell ref="A116:A122"/>
    <mergeCell ref="G116:G122"/>
    <mergeCell ref="H116:H122"/>
    <mergeCell ref="A106:A107"/>
    <mergeCell ref="A1:H1"/>
    <mergeCell ref="A2:H2"/>
    <mergeCell ref="A3:H3"/>
    <mergeCell ref="A4:H4"/>
    <mergeCell ref="A5:H5"/>
    <mergeCell ref="A8:A9"/>
    <mergeCell ref="G8:G9"/>
    <mergeCell ref="H8:H9"/>
    <mergeCell ref="A55:A56"/>
    <mergeCell ref="G55:G56"/>
    <mergeCell ref="H55:H56"/>
    <mergeCell ref="A15:A16"/>
    <mergeCell ref="G15:G16"/>
    <mergeCell ref="H15:H16"/>
    <mergeCell ref="A17:A18"/>
    <mergeCell ref="G17:G18"/>
    <mergeCell ref="H17:H18"/>
    <mergeCell ref="A10:A11"/>
    <mergeCell ref="G10:G11"/>
    <mergeCell ref="H10:H11"/>
    <mergeCell ref="A12:A14"/>
    <mergeCell ref="G12:G14"/>
    <mergeCell ref="H12:H14"/>
    <mergeCell ref="A23:A24"/>
    <mergeCell ref="A57:A58"/>
    <mergeCell ref="G57:G58"/>
    <mergeCell ref="H57:H58"/>
    <mergeCell ref="A51:A52"/>
    <mergeCell ref="G51:G52"/>
    <mergeCell ref="H51:H52"/>
    <mergeCell ref="A53:A54"/>
    <mergeCell ref="G53:G54"/>
    <mergeCell ref="A96:A98"/>
    <mergeCell ref="G96:G98"/>
    <mergeCell ref="H96:H98"/>
    <mergeCell ref="A91:A92"/>
    <mergeCell ref="G91:G92"/>
    <mergeCell ref="H91:H92"/>
    <mergeCell ref="A93:A95"/>
    <mergeCell ref="G93:G95"/>
    <mergeCell ref="H93:H95"/>
    <mergeCell ref="A89:A90"/>
    <mergeCell ref="H53:H54"/>
    <mergeCell ref="A64:A65"/>
    <mergeCell ref="G64:G65"/>
    <mergeCell ref="H64:H65"/>
    <mergeCell ref="A66:A68"/>
    <mergeCell ref="G66:G68"/>
    <mergeCell ref="A132:E132"/>
    <mergeCell ref="A133:H133"/>
    <mergeCell ref="A134:H134"/>
    <mergeCell ref="A135:H135"/>
    <mergeCell ref="A136:H136"/>
    <mergeCell ref="A138:H139"/>
    <mergeCell ref="A123:A125"/>
    <mergeCell ref="G123:G125"/>
    <mergeCell ref="H123:H125"/>
    <mergeCell ref="A126:A127"/>
    <mergeCell ref="G126:G127"/>
    <mergeCell ref="H126:H127"/>
    <mergeCell ref="G106:G107"/>
    <mergeCell ref="A110:A115"/>
    <mergeCell ref="G110:G115"/>
    <mergeCell ref="G128:G131"/>
    <mergeCell ref="A128:A131"/>
    <mergeCell ref="H66:H68"/>
    <mergeCell ref="A59:A60"/>
    <mergeCell ref="G59:G60"/>
    <mergeCell ref="H59:H60"/>
    <mergeCell ref="A61:A63"/>
    <mergeCell ref="G61:G63"/>
    <mergeCell ref="H61:H63"/>
    <mergeCell ref="A75:A76"/>
    <mergeCell ref="G75:G76"/>
    <mergeCell ref="H75:H76"/>
    <mergeCell ref="G71:G74"/>
    <mergeCell ref="A71:A74"/>
    <mergeCell ref="H71:H74"/>
    <mergeCell ref="A77:A78"/>
    <mergeCell ref="G77:G78"/>
    <mergeCell ref="H77:H78"/>
    <mergeCell ref="A69:A70"/>
    <mergeCell ref="G69:G70"/>
    <mergeCell ref="H69:H70"/>
    <mergeCell ref="A83:A84"/>
    <mergeCell ref="G83:G84"/>
    <mergeCell ref="H83:H84"/>
    <mergeCell ref="A85:A86"/>
    <mergeCell ref="G85:G86"/>
    <mergeCell ref="H85:H86"/>
    <mergeCell ref="A79:A80"/>
    <mergeCell ref="G79:G80"/>
    <mergeCell ref="H79:H80"/>
    <mergeCell ref="A81:A82"/>
    <mergeCell ref="G81:G82"/>
    <mergeCell ref="H81:H82"/>
    <mergeCell ref="G23:G24"/>
    <mergeCell ref="H23:H24"/>
    <mergeCell ref="A25:A26"/>
    <mergeCell ref="G25:G26"/>
    <mergeCell ref="H25:H26"/>
    <mergeCell ref="A19:A20"/>
    <mergeCell ref="G19:G20"/>
    <mergeCell ref="H19:H20"/>
    <mergeCell ref="A21:A22"/>
    <mergeCell ref="G21:G22"/>
    <mergeCell ref="H21:H22"/>
    <mergeCell ref="A32:A34"/>
    <mergeCell ref="G32:G34"/>
    <mergeCell ref="H32:H34"/>
    <mergeCell ref="A35:A36"/>
    <mergeCell ref="G35:G36"/>
    <mergeCell ref="H35:H36"/>
    <mergeCell ref="A27:A28"/>
    <mergeCell ref="G27:G28"/>
    <mergeCell ref="H27:H28"/>
    <mergeCell ref="A29:A31"/>
    <mergeCell ref="G29:G31"/>
    <mergeCell ref="H29:H31"/>
    <mergeCell ref="A42:A48"/>
    <mergeCell ref="G42:G48"/>
    <mergeCell ref="H42:H48"/>
    <mergeCell ref="A49:A50"/>
    <mergeCell ref="G49:G50"/>
    <mergeCell ref="H49:H50"/>
    <mergeCell ref="A37:A39"/>
    <mergeCell ref="G37:G39"/>
    <mergeCell ref="H37:H39"/>
    <mergeCell ref="A40:A41"/>
    <mergeCell ref="G40:G41"/>
    <mergeCell ref="H40:H41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  <outlinePr summaryBelow="0" summaryRight="0"/>
  </sheetPr>
  <dimension ref="A1:Y680"/>
  <sheetViews>
    <sheetView zoomScale="85" zoomScaleNormal="85" workbookViewId="0">
      <pane ySplit="7" topLeftCell="A113" activePane="bottomLeft" state="frozen"/>
      <selection activeCell="I66" sqref="I66"/>
      <selection pane="bottomLeft" activeCell="I66" sqref="I66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/>
      <c r="K3" s="12">
        <v>124</v>
      </c>
      <c r="L3" s="12">
        <v>2416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99</v>
      </c>
      <c r="B4" s="115"/>
      <c r="C4" s="116"/>
      <c r="D4" s="116"/>
      <c r="E4" s="116"/>
      <c r="F4" s="116"/>
      <c r="G4" s="116"/>
      <c r="H4" s="116"/>
      <c r="I4" s="12"/>
      <c r="J4" s="12"/>
      <c r="K4" s="12">
        <v>27</v>
      </c>
      <c r="L4" s="12">
        <v>54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>
        <f>K3/K4</f>
        <v>4.5925925925925926</v>
      </c>
      <c r="L5" s="12">
        <f>L3/L4</f>
        <v>44.74074074074074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32</v>
      </c>
      <c r="C8" s="6" t="s">
        <v>44</v>
      </c>
      <c r="D8" s="10" t="s">
        <v>173</v>
      </c>
      <c r="E8" s="8" t="s">
        <v>592</v>
      </c>
      <c r="F8" s="16">
        <v>27</v>
      </c>
      <c r="G8" s="99">
        <f>SUM(F8:F9)</f>
        <v>54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 t="s">
        <v>69</v>
      </c>
      <c r="C9" s="6" t="s">
        <v>26</v>
      </c>
      <c r="D9" s="10" t="s">
        <v>177</v>
      </c>
      <c r="E9" s="8" t="s">
        <v>558</v>
      </c>
      <c r="F9" s="16">
        <v>27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32</v>
      </c>
      <c r="C10" s="6" t="s">
        <v>44</v>
      </c>
      <c r="D10" s="10" t="s">
        <v>173</v>
      </c>
      <c r="E10" s="8" t="s">
        <v>593</v>
      </c>
      <c r="F10" s="16">
        <v>27</v>
      </c>
      <c r="G10" s="99">
        <f t="shared" ref="G10" si="0">SUM(F10:F11)</f>
        <v>54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 t="s">
        <v>69</v>
      </c>
      <c r="C11" s="6" t="s">
        <v>26</v>
      </c>
      <c r="D11" s="10" t="s">
        <v>177</v>
      </c>
      <c r="E11" s="8" t="s">
        <v>559</v>
      </c>
      <c r="F11" s="16">
        <v>27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 t="s">
        <v>32</v>
      </c>
      <c r="C12" s="6" t="s">
        <v>44</v>
      </c>
      <c r="D12" s="10" t="s">
        <v>173</v>
      </c>
      <c r="E12" s="8" t="s">
        <v>594</v>
      </c>
      <c r="F12" s="16">
        <v>27</v>
      </c>
      <c r="G12" s="99">
        <f t="shared" ref="G12" si="1">SUM(F12:F13)</f>
        <v>54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 t="s">
        <v>69</v>
      </c>
      <c r="C13" s="6" t="s">
        <v>26</v>
      </c>
      <c r="D13" s="10" t="s">
        <v>177</v>
      </c>
      <c r="E13" s="8" t="s">
        <v>560</v>
      </c>
      <c r="F13" s="16">
        <v>27</v>
      </c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 t="s">
        <v>32</v>
      </c>
      <c r="C14" s="6" t="s">
        <v>44</v>
      </c>
      <c r="D14" s="10" t="s">
        <v>173</v>
      </c>
      <c r="E14" s="8" t="s">
        <v>595</v>
      </c>
      <c r="F14" s="16">
        <v>27</v>
      </c>
      <c r="G14" s="99">
        <f t="shared" ref="G14" si="2">SUM(F14:F15)</f>
        <v>54</v>
      </c>
      <c r="H14" s="100" t="s">
        <v>130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 t="s">
        <v>69</v>
      </c>
      <c r="C15" s="6" t="s">
        <v>26</v>
      </c>
      <c r="D15" s="10" t="s">
        <v>177</v>
      </c>
      <c r="E15" s="8" t="s">
        <v>561</v>
      </c>
      <c r="F15" s="16">
        <v>27</v>
      </c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 t="s">
        <v>32</v>
      </c>
      <c r="C16" s="6" t="s">
        <v>44</v>
      </c>
      <c r="D16" s="10" t="s">
        <v>173</v>
      </c>
      <c r="E16" s="8" t="s">
        <v>596</v>
      </c>
      <c r="F16" s="16">
        <v>27</v>
      </c>
      <c r="G16" s="99">
        <f t="shared" ref="G16" si="3">SUM(F16:F18)</f>
        <v>52</v>
      </c>
      <c r="H16" s="100" t="s">
        <v>131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31.2" x14ac:dyDescent="0.25">
      <c r="A17" s="97"/>
      <c r="B17" s="9" t="s">
        <v>69</v>
      </c>
      <c r="C17" s="6" t="s">
        <v>26</v>
      </c>
      <c r="D17" s="10" t="s">
        <v>177</v>
      </c>
      <c r="E17" s="8" t="s">
        <v>562</v>
      </c>
      <c r="F17" s="16">
        <v>24</v>
      </c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8"/>
      <c r="B18" s="9" t="s">
        <v>69</v>
      </c>
      <c r="C18" s="6" t="s">
        <v>557</v>
      </c>
      <c r="D18" s="10" t="s">
        <v>177</v>
      </c>
      <c r="E18" s="26">
        <v>2116211401057</v>
      </c>
      <c r="F18" s="16">
        <v>1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7">
        <v>6</v>
      </c>
      <c r="B19" s="9" t="s">
        <v>32</v>
      </c>
      <c r="C19" s="6" t="s">
        <v>44</v>
      </c>
      <c r="D19" s="10" t="s">
        <v>173</v>
      </c>
      <c r="E19" s="8" t="s">
        <v>597</v>
      </c>
      <c r="F19" s="16">
        <v>27</v>
      </c>
      <c r="G19" s="99">
        <f t="shared" ref="G19" si="4">SUM(F19:F20)</f>
        <v>54</v>
      </c>
      <c r="H19" s="100" t="s">
        <v>132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8"/>
      <c r="B20" s="9" t="s">
        <v>69</v>
      </c>
      <c r="C20" s="6" t="s">
        <v>31</v>
      </c>
      <c r="D20" s="10" t="s">
        <v>178</v>
      </c>
      <c r="E20" s="8" t="s">
        <v>565</v>
      </c>
      <c r="F20" s="16">
        <v>27</v>
      </c>
      <c r="G20" s="99"/>
      <c r="H20" s="10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7">
        <v>7</v>
      </c>
      <c r="B21" s="9" t="s">
        <v>32</v>
      </c>
      <c r="C21" s="6" t="s">
        <v>44</v>
      </c>
      <c r="D21" s="10" t="s">
        <v>173</v>
      </c>
      <c r="E21" s="8" t="s">
        <v>598</v>
      </c>
      <c r="F21" s="16">
        <v>27</v>
      </c>
      <c r="G21" s="99">
        <f t="shared" ref="G21" si="5">SUM(F21:F22)</f>
        <v>54</v>
      </c>
      <c r="H21" s="100" t="s">
        <v>133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8"/>
      <c r="B22" s="9" t="s">
        <v>69</v>
      </c>
      <c r="C22" s="6" t="s">
        <v>31</v>
      </c>
      <c r="D22" s="10" t="s">
        <v>178</v>
      </c>
      <c r="E22" s="8" t="s">
        <v>566</v>
      </c>
      <c r="F22" s="16">
        <v>27</v>
      </c>
      <c r="G22" s="99"/>
      <c r="H22" s="10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7">
        <v>8</v>
      </c>
      <c r="B23" s="9" t="s">
        <v>32</v>
      </c>
      <c r="C23" s="6" t="s">
        <v>44</v>
      </c>
      <c r="D23" s="10" t="s">
        <v>173</v>
      </c>
      <c r="E23" s="8" t="s">
        <v>599</v>
      </c>
      <c r="F23" s="16">
        <v>27</v>
      </c>
      <c r="G23" s="99">
        <f t="shared" ref="G23" si="6">SUM(F23:F24)</f>
        <v>54</v>
      </c>
      <c r="H23" s="100" t="s">
        <v>134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8"/>
      <c r="B24" s="9" t="s">
        <v>69</v>
      </c>
      <c r="C24" s="6" t="s">
        <v>31</v>
      </c>
      <c r="D24" s="10" t="s">
        <v>178</v>
      </c>
      <c r="E24" s="8" t="s">
        <v>567</v>
      </c>
      <c r="F24" s="16">
        <v>27</v>
      </c>
      <c r="G24" s="99"/>
      <c r="H24" s="10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31.2" x14ac:dyDescent="0.25">
      <c r="A25" s="97">
        <v>9</v>
      </c>
      <c r="B25" s="9" t="s">
        <v>32</v>
      </c>
      <c r="C25" s="6" t="s">
        <v>44</v>
      </c>
      <c r="D25" s="10" t="s">
        <v>173</v>
      </c>
      <c r="E25" s="8" t="s">
        <v>600</v>
      </c>
      <c r="F25" s="16">
        <v>27</v>
      </c>
      <c r="G25" s="99">
        <f t="shared" ref="G25" si="7">SUM(F25:F26)</f>
        <v>54</v>
      </c>
      <c r="H25" s="100" t="s">
        <v>135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8"/>
      <c r="B26" s="9" t="s">
        <v>69</v>
      </c>
      <c r="C26" s="6" t="s">
        <v>31</v>
      </c>
      <c r="D26" s="10" t="s">
        <v>178</v>
      </c>
      <c r="E26" s="8" t="s">
        <v>568</v>
      </c>
      <c r="F26" s="16">
        <v>27</v>
      </c>
      <c r="G26" s="99"/>
      <c r="H26" s="10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7">
        <v>10</v>
      </c>
      <c r="B27" s="9" t="s">
        <v>32</v>
      </c>
      <c r="C27" s="6" t="s">
        <v>44</v>
      </c>
      <c r="D27" s="10" t="s">
        <v>173</v>
      </c>
      <c r="E27" s="8" t="s">
        <v>601</v>
      </c>
      <c r="F27" s="16">
        <v>27</v>
      </c>
      <c r="G27" s="99">
        <f t="shared" ref="G27" si="8">SUM(F27:F28)</f>
        <v>54</v>
      </c>
      <c r="H27" s="100" t="s">
        <v>136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8"/>
      <c r="B28" s="9" t="s">
        <v>87</v>
      </c>
      <c r="C28" s="6" t="s">
        <v>94</v>
      </c>
      <c r="D28" s="10" t="s">
        <v>174</v>
      </c>
      <c r="E28" s="8" t="s">
        <v>547</v>
      </c>
      <c r="F28" s="16">
        <v>27</v>
      </c>
      <c r="G28" s="99"/>
      <c r="H28" s="10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7">
        <v>11</v>
      </c>
      <c r="B29" s="9" t="s">
        <v>32</v>
      </c>
      <c r="C29" s="6" t="s">
        <v>44</v>
      </c>
      <c r="D29" s="10" t="s">
        <v>173</v>
      </c>
      <c r="E29" s="8" t="s">
        <v>602</v>
      </c>
      <c r="F29" s="16">
        <v>27</v>
      </c>
      <c r="G29" s="99">
        <f t="shared" ref="G29" si="9">SUM(F29:F30)</f>
        <v>54</v>
      </c>
      <c r="H29" s="100" t="s">
        <v>137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8"/>
      <c r="B30" s="9" t="s">
        <v>87</v>
      </c>
      <c r="C30" s="6" t="s">
        <v>94</v>
      </c>
      <c r="D30" s="10" t="s">
        <v>174</v>
      </c>
      <c r="E30" s="8" t="s">
        <v>548</v>
      </c>
      <c r="F30" s="16">
        <v>27</v>
      </c>
      <c r="G30" s="99"/>
      <c r="H30" s="10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7">
        <v>12</v>
      </c>
      <c r="B31" s="9" t="s">
        <v>32</v>
      </c>
      <c r="C31" s="6" t="s">
        <v>44</v>
      </c>
      <c r="D31" s="10" t="s">
        <v>173</v>
      </c>
      <c r="E31" s="8" t="s">
        <v>603</v>
      </c>
      <c r="F31" s="16">
        <v>27</v>
      </c>
      <c r="G31" s="99">
        <f t="shared" ref="G31" si="10">SUM(F31:F33)</f>
        <v>54</v>
      </c>
      <c r="H31" s="100" t="s">
        <v>138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/>
      <c r="B32" s="9" t="s">
        <v>87</v>
      </c>
      <c r="C32" s="6" t="s">
        <v>8</v>
      </c>
      <c r="D32" s="10" t="s">
        <v>175</v>
      </c>
      <c r="E32" s="8" t="s">
        <v>552</v>
      </c>
      <c r="F32" s="16">
        <v>12</v>
      </c>
      <c r="G32" s="99"/>
      <c r="H32" s="100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 t="s">
        <v>87</v>
      </c>
      <c r="C33" s="6" t="s">
        <v>94</v>
      </c>
      <c r="D33" s="10" t="s">
        <v>174</v>
      </c>
      <c r="E33" s="8" t="s">
        <v>549</v>
      </c>
      <c r="F33" s="16">
        <v>15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13</v>
      </c>
      <c r="B34" s="9" t="s">
        <v>32</v>
      </c>
      <c r="C34" s="6" t="s">
        <v>44</v>
      </c>
      <c r="D34" s="10" t="s">
        <v>173</v>
      </c>
      <c r="E34" s="8" t="s">
        <v>604</v>
      </c>
      <c r="F34" s="16">
        <v>27</v>
      </c>
      <c r="G34" s="99">
        <f t="shared" ref="G34" si="11">SUM(F34:F35)</f>
        <v>54</v>
      </c>
      <c r="H34" s="100" t="s">
        <v>139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 t="s">
        <v>87</v>
      </c>
      <c r="C35" s="6" t="s">
        <v>8</v>
      </c>
      <c r="D35" s="10" t="s">
        <v>175</v>
      </c>
      <c r="E35" s="8" t="s">
        <v>553</v>
      </c>
      <c r="F35" s="16">
        <v>27</v>
      </c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14</v>
      </c>
      <c r="B36" s="9" t="s">
        <v>32</v>
      </c>
      <c r="C36" s="6" t="s">
        <v>44</v>
      </c>
      <c r="D36" s="10" t="s">
        <v>173</v>
      </c>
      <c r="E36" s="8" t="s">
        <v>605</v>
      </c>
      <c r="F36" s="16">
        <v>27</v>
      </c>
      <c r="G36" s="99">
        <f t="shared" ref="G36" si="12">SUM(F36:F38)</f>
        <v>53</v>
      </c>
      <c r="H36" s="100" t="s">
        <v>140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7"/>
      <c r="B37" s="9" t="s">
        <v>87</v>
      </c>
      <c r="C37" s="6" t="s">
        <v>8</v>
      </c>
      <c r="D37" s="10" t="s">
        <v>175</v>
      </c>
      <c r="E37" s="8" t="s">
        <v>554</v>
      </c>
      <c r="F37" s="16">
        <v>11</v>
      </c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46.8" x14ac:dyDescent="0.25">
      <c r="A38" s="98"/>
      <c r="B38" s="9" t="s">
        <v>87</v>
      </c>
      <c r="C38" s="6" t="s">
        <v>550</v>
      </c>
      <c r="D38" s="10" t="s">
        <v>175</v>
      </c>
      <c r="E38" s="28" t="s">
        <v>551</v>
      </c>
      <c r="F38" s="16">
        <v>15</v>
      </c>
      <c r="G38" s="99"/>
      <c r="H38" s="100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7">
        <v>15</v>
      </c>
      <c r="B39" s="9" t="s">
        <v>32</v>
      </c>
      <c r="C39" s="6" t="s">
        <v>44</v>
      </c>
      <c r="D39" s="10" t="s">
        <v>173</v>
      </c>
      <c r="E39" s="8" t="s">
        <v>607</v>
      </c>
      <c r="F39" s="16">
        <v>27</v>
      </c>
      <c r="G39" s="99">
        <f t="shared" ref="G39" si="13">SUM(F39:F41)</f>
        <v>54</v>
      </c>
      <c r="H39" s="100" t="s">
        <v>141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31.2" x14ac:dyDescent="0.25">
      <c r="A40" s="97"/>
      <c r="B40" s="9" t="s">
        <v>87</v>
      </c>
      <c r="C40" s="6" t="s">
        <v>10</v>
      </c>
      <c r="D40" s="10" t="s">
        <v>176</v>
      </c>
      <c r="E40" s="8" t="s">
        <v>555</v>
      </c>
      <c r="F40" s="16">
        <v>23</v>
      </c>
      <c r="G40" s="99"/>
      <c r="H40" s="10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 t="s">
        <v>87</v>
      </c>
      <c r="C41" s="6" t="s">
        <v>77</v>
      </c>
      <c r="D41" s="10" t="s">
        <v>179</v>
      </c>
      <c r="E41" s="8" t="s">
        <v>570</v>
      </c>
      <c r="F41" s="16">
        <v>4</v>
      </c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16</v>
      </c>
      <c r="B42" s="9" t="s">
        <v>32</v>
      </c>
      <c r="C42" s="6" t="s">
        <v>44</v>
      </c>
      <c r="D42" s="10" t="s">
        <v>173</v>
      </c>
      <c r="E42" s="8" t="s">
        <v>606</v>
      </c>
      <c r="F42" s="16">
        <v>13</v>
      </c>
      <c r="G42" s="99">
        <f t="shared" ref="G42" si="14">SUM(F42:F46)</f>
        <v>54</v>
      </c>
      <c r="H42" s="100" t="s">
        <v>142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7"/>
      <c r="B43" s="9" t="s">
        <v>32</v>
      </c>
      <c r="C43" s="6" t="s">
        <v>38</v>
      </c>
      <c r="D43" s="10" t="s">
        <v>173</v>
      </c>
      <c r="E43" s="8" t="s">
        <v>608</v>
      </c>
      <c r="F43" s="16">
        <v>14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/>
      <c r="B44" s="9" t="s">
        <v>87</v>
      </c>
      <c r="C44" s="6" t="s">
        <v>77</v>
      </c>
      <c r="D44" s="10" t="s">
        <v>179</v>
      </c>
      <c r="E44" s="8" t="s">
        <v>571</v>
      </c>
      <c r="F44" s="16">
        <v>11</v>
      </c>
      <c r="G44" s="99"/>
      <c r="H44" s="10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/>
      <c r="B45" s="9" t="s">
        <v>69</v>
      </c>
      <c r="C45" s="6" t="s">
        <v>31</v>
      </c>
      <c r="D45" s="10" t="s">
        <v>178</v>
      </c>
      <c r="E45" s="8" t="s">
        <v>569</v>
      </c>
      <c r="F45" s="16">
        <v>11</v>
      </c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46.8" x14ac:dyDescent="0.25">
      <c r="A46" s="98"/>
      <c r="B46" s="9" t="s">
        <v>69</v>
      </c>
      <c r="C46" s="6" t="s">
        <v>563</v>
      </c>
      <c r="D46" s="10" t="s">
        <v>178</v>
      </c>
      <c r="E46" s="8" t="s">
        <v>564</v>
      </c>
      <c r="F46" s="16">
        <v>5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17</v>
      </c>
      <c r="B47" s="9" t="s">
        <v>32</v>
      </c>
      <c r="C47" s="6" t="s">
        <v>38</v>
      </c>
      <c r="D47" s="10" t="s">
        <v>173</v>
      </c>
      <c r="E47" s="8" t="s">
        <v>609</v>
      </c>
      <c r="F47" s="16">
        <v>27</v>
      </c>
      <c r="G47" s="99">
        <f t="shared" ref="G47" si="15">SUM(F47:F48)</f>
        <v>54</v>
      </c>
      <c r="H47" s="100" t="s">
        <v>143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8"/>
      <c r="B48" s="9" t="s">
        <v>87</v>
      </c>
      <c r="C48" s="6" t="s">
        <v>77</v>
      </c>
      <c r="D48" s="10" t="s">
        <v>179</v>
      </c>
      <c r="E48" s="8" t="s">
        <v>572</v>
      </c>
      <c r="F48" s="16">
        <v>27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18</v>
      </c>
      <c r="B49" s="9" t="s">
        <v>32</v>
      </c>
      <c r="C49" s="6" t="s">
        <v>38</v>
      </c>
      <c r="D49" s="10" t="s">
        <v>173</v>
      </c>
      <c r="E49" s="8" t="s">
        <v>610</v>
      </c>
      <c r="F49" s="16">
        <v>27</v>
      </c>
      <c r="G49" s="99">
        <f t="shared" ref="G49" si="16">SUM(F49:F50)</f>
        <v>54</v>
      </c>
      <c r="H49" s="100" t="s">
        <v>144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8"/>
      <c r="B50" s="9" t="s">
        <v>87</v>
      </c>
      <c r="C50" s="6" t="s">
        <v>77</v>
      </c>
      <c r="D50" s="10" t="s">
        <v>179</v>
      </c>
      <c r="E50" s="8" t="s">
        <v>573</v>
      </c>
      <c r="F50" s="16">
        <v>27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>
        <v>19</v>
      </c>
      <c r="B51" s="9" t="s">
        <v>32</v>
      </c>
      <c r="C51" s="6" t="s">
        <v>38</v>
      </c>
      <c r="D51" s="10" t="s">
        <v>173</v>
      </c>
      <c r="E51" s="8" t="s">
        <v>611</v>
      </c>
      <c r="F51" s="16">
        <v>27</v>
      </c>
      <c r="G51" s="99">
        <f t="shared" ref="G51" si="17">SUM(F51:F52)</f>
        <v>54</v>
      </c>
      <c r="H51" s="100" t="s">
        <v>145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8"/>
      <c r="B52" s="9" t="s">
        <v>87</v>
      </c>
      <c r="C52" s="6" t="s">
        <v>77</v>
      </c>
      <c r="D52" s="10" t="s">
        <v>179</v>
      </c>
      <c r="E52" s="8" t="s">
        <v>574</v>
      </c>
      <c r="F52" s="16">
        <v>27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7">
        <v>20</v>
      </c>
      <c r="B53" s="9" t="s">
        <v>32</v>
      </c>
      <c r="C53" s="6" t="s">
        <v>38</v>
      </c>
      <c r="D53" s="10" t="s">
        <v>173</v>
      </c>
      <c r="E53" s="8" t="s">
        <v>612</v>
      </c>
      <c r="F53" s="16">
        <v>27</v>
      </c>
      <c r="G53" s="99">
        <f t="shared" ref="G53" si="18">SUM(F53:F54)</f>
        <v>54</v>
      </c>
      <c r="H53" s="100" t="s">
        <v>146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8"/>
      <c r="B54" s="9" t="s">
        <v>87</v>
      </c>
      <c r="C54" s="6" t="s">
        <v>77</v>
      </c>
      <c r="D54" s="10" t="s">
        <v>179</v>
      </c>
      <c r="E54" s="8" t="s">
        <v>575</v>
      </c>
      <c r="F54" s="16">
        <v>27</v>
      </c>
      <c r="G54" s="99"/>
      <c r="H54" s="10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>
        <v>21</v>
      </c>
      <c r="B55" s="9" t="s">
        <v>32</v>
      </c>
      <c r="C55" s="6" t="s">
        <v>38</v>
      </c>
      <c r="D55" s="10" t="s">
        <v>173</v>
      </c>
      <c r="E55" s="8" t="s">
        <v>613</v>
      </c>
      <c r="F55" s="16">
        <v>27</v>
      </c>
      <c r="G55" s="99">
        <f t="shared" ref="G55" si="19">SUM(F55:F56)</f>
        <v>54</v>
      </c>
      <c r="H55" s="100" t="s">
        <v>147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8"/>
      <c r="B56" s="9" t="s">
        <v>87</v>
      </c>
      <c r="C56" s="6" t="s">
        <v>77</v>
      </c>
      <c r="D56" s="10" t="s">
        <v>179</v>
      </c>
      <c r="E56" s="8" t="s">
        <v>576</v>
      </c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22</v>
      </c>
      <c r="B57" s="9" t="s">
        <v>32</v>
      </c>
      <c r="C57" s="6" t="s">
        <v>38</v>
      </c>
      <c r="D57" s="10" t="s">
        <v>173</v>
      </c>
      <c r="E57" s="8" t="s">
        <v>614</v>
      </c>
      <c r="F57" s="16">
        <v>27</v>
      </c>
      <c r="G57" s="99">
        <f t="shared" ref="G57" si="20">SUM(F57:F58)</f>
        <v>54</v>
      </c>
      <c r="H57" s="100" t="s">
        <v>148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8"/>
      <c r="B58" s="9" t="s">
        <v>87</v>
      </c>
      <c r="C58" s="6" t="s">
        <v>77</v>
      </c>
      <c r="D58" s="10" t="s">
        <v>179</v>
      </c>
      <c r="E58" s="8" t="s">
        <v>577</v>
      </c>
      <c r="F58" s="16">
        <v>27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7">
        <v>23</v>
      </c>
      <c r="B59" s="9" t="s">
        <v>32</v>
      </c>
      <c r="C59" s="6" t="s">
        <v>38</v>
      </c>
      <c r="D59" s="10" t="s">
        <v>173</v>
      </c>
      <c r="E59" s="8" t="s">
        <v>615</v>
      </c>
      <c r="F59" s="16">
        <v>27</v>
      </c>
      <c r="G59" s="99">
        <f t="shared" ref="G59" si="21">SUM(F59:F61)</f>
        <v>54</v>
      </c>
      <c r="H59" s="100" t="s">
        <v>149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/>
      <c r="B60" s="9" t="s">
        <v>32</v>
      </c>
      <c r="C60" s="6" t="s">
        <v>26</v>
      </c>
      <c r="D60" s="10" t="s">
        <v>180</v>
      </c>
      <c r="E60" s="8" t="s">
        <v>579</v>
      </c>
      <c r="F60" s="16">
        <v>19</v>
      </c>
      <c r="G60" s="99"/>
      <c r="H60" s="10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 t="s">
        <v>87</v>
      </c>
      <c r="C61" s="6" t="s">
        <v>77</v>
      </c>
      <c r="D61" s="10" t="s">
        <v>179</v>
      </c>
      <c r="E61" s="8" t="s">
        <v>578</v>
      </c>
      <c r="F61" s="16">
        <v>8</v>
      </c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31.2" x14ac:dyDescent="0.25">
      <c r="A62" s="97">
        <v>24</v>
      </c>
      <c r="B62" s="9" t="s">
        <v>32</v>
      </c>
      <c r="C62" s="6" t="s">
        <v>38</v>
      </c>
      <c r="D62" s="10" t="s">
        <v>173</v>
      </c>
      <c r="E62" s="8" t="s">
        <v>616</v>
      </c>
      <c r="F62" s="16">
        <v>27</v>
      </c>
      <c r="G62" s="99">
        <f t="shared" ref="G62" si="22">SUM(F62:F63)</f>
        <v>54</v>
      </c>
      <c r="H62" s="100" t="s">
        <v>150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 t="s">
        <v>32</v>
      </c>
      <c r="C63" s="6" t="s">
        <v>26</v>
      </c>
      <c r="D63" s="10" t="s">
        <v>180</v>
      </c>
      <c r="E63" s="8" t="s">
        <v>580</v>
      </c>
      <c r="F63" s="16">
        <v>27</v>
      </c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25</v>
      </c>
      <c r="B64" s="9" t="s">
        <v>32</v>
      </c>
      <c r="C64" s="6" t="s">
        <v>38</v>
      </c>
      <c r="D64" s="10" t="s">
        <v>173</v>
      </c>
      <c r="E64" s="8" t="s">
        <v>617</v>
      </c>
      <c r="F64" s="16">
        <v>27</v>
      </c>
      <c r="G64" s="99">
        <f t="shared" ref="G64" si="23">SUM(F64:F65)</f>
        <v>54</v>
      </c>
      <c r="H64" s="100" t="s">
        <v>151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 t="s">
        <v>32</v>
      </c>
      <c r="C65" s="6" t="s">
        <v>26</v>
      </c>
      <c r="D65" s="10" t="s">
        <v>180</v>
      </c>
      <c r="E65" s="8" t="s">
        <v>581</v>
      </c>
      <c r="F65" s="16">
        <v>27</v>
      </c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26</v>
      </c>
      <c r="B66" s="9" t="s">
        <v>32</v>
      </c>
      <c r="C66" s="6" t="s">
        <v>38</v>
      </c>
      <c r="D66" s="10" t="s">
        <v>173</v>
      </c>
      <c r="E66" s="8" t="s">
        <v>618</v>
      </c>
      <c r="F66" s="16">
        <v>9</v>
      </c>
      <c r="G66" s="99">
        <f t="shared" ref="G66" si="24">SUM(F66:F68)</f>
        <v>54</v>
      </c>
      <c r="H66" s="100" t="s">
        <v>152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7"/>
      <c r="B67" s="9" t="s">
        <v>32</v>
      </c>
      <c r="C67" s="6" t="s">
        <v>93</v>
      </c>
      <c r="D67" s="10" t="s">
        <v>173</v>
      </c>
      <c r="E67" s="8" t="s">
        <v>619</v>
      </c>
      <c r="F67" s="16">
        <v>18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8"/>
      <c r="B68" s="9" t="s">
        <v>32</v>
      </c>
      <c r="C68" s="6" t="s">
        <v>26</v>
      </c>
      <c r="D68" s="10" t="s">
        <v>180</v>
      </c>
      <c r="E68" s="8" t="s">
        <v>582</v>
      </c>
      <c r="F68" s="16">
        <v>27</v>
      </c>
      <c r="G68" s="99"/>
      <c r="H68" s="10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7">
        <v>27</v>
      </c>
      <c r="B69" s="9" t="s">
        <v>32</v>
      </c>
      <c r="C69" s="6" t="s">
        <v>93</v>
      </c>
      <c r="D69" s="10" t="s">
        <v>173</v>
      </c>
      <c r="E69" s="8" t="s">
        <v>620</v>
      </c>
      <c r="F69" s="16">
        <v>27</v>
      </c>
      <c r="G69" s="99">
        <f t="shared" ref="G69" si="25">SUM(F69:F70)</f>
        <v>53</v>
      </c>
      <c r="H69" s="100" t="s">
        <v>153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31.2" x14ac:dyDescent="0.25">
      <c r="A70" s="98"/>
      <c r="B70" s="9" t="s">
        <v>32</v>
      </c>
      <c r="C70" s="6" t="s">
        <v>26</v>
      </c>
      <c r="D70" s="10" t="s">
        <v>180</v>
      </c>
      <c r="E70" s="8" t="s">
        <v>583</v>
      </c>
      <c r="F70" s="16">
        <v>26</v>
      </c>
      <c r="G70" s="99"/>
      <c r="H70" s="10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7">
        <v>28</v>
      </c>
      <c r="B71" s="9" t="s">
        <v>32</v>
      </c>
      <c r="C71" s="6" t="s">
        <v>93</v>
      </c>
      <c r="D71" s="10" t="s">
        <v>173</v>
      </c>
      <c r="E71" s="8" t="s">
        <v>621</v>
      </c>
      <c r="F71" s="16">
        <v>27</v>
      </c>
      <c r="G71" s="99">
        <f t="shared" ref="G71" si="26">SUM(F71:F72)</f>
        <v>54</v>
      </c>
      <c r="H71" s="100" t="s">
        <v>154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31.2" x14ac:dyDescent="0.25">
      <c r="A72" s="98"/>
      <c r="B72" s="9" t="s">
        <v>69</v>
      </c>
      <c r="C72" s="6" t="s">
        <v>9</v>
      </c>
      <c r="D72" s="10" t="s">
        <v>181</v>
      </c>
      <c r="E72" s="8" t="s">
        <v>586</v>
      </c>
      <c r="F72" s="16">
        <v>27</v>
      </c>
      <c r="G72" s="99"/>
      <c r="H72" s="10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7">
        <v>29</v>
      </c>
      <c r="B73" s="9" t="s">
        <v>32</v>
      </c>
      <c r="C73" s="6" t="s">
        <v>93</v>
      </c>
      <c r="D73" s="10" t="s">
        <v>173</v>
      </c>
      <c r="E73" s="8" t="s">
        <v>622</v>
      </c>
      <c r="F73" s="16">
        <v>27</v>
      </c>
      <c r="G73" s="99">
        <f t="shared" ref="G73" si="27">SUM(F73:F76)</f>
        <v>54</v>
      </c>
      <c r="H73" s="100" t="s">
        <v>155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7"/>
      <c r="B74" s="9" t="s">
        <v>69</v>
      </c>
      <c r="C74" s="6" t="s">
        <v>9</v>
      </c>
      <c r="D74" s="10" t="s">
        <v>181</v>
      </c>
      <c r="E74" s="8" t="s">
        <v>587</v>
      </c>
      <c r="F74" s="16">
        <v>19</v>
      </c>
      <c r="G74" s="99"/>
      <c r="H74" s="10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7"/>
      <c r="B75" s="9" t="s">
        <v>69</v>
      </c>
      <c r="C75" s="6" t="s">
        <v>584</v>
      </c>
      <c r="D75" s="10" t="s">
        <v>181</v>
      </c>
      <c r="E75" s="8" t="s">
        <v>585</v>
      </c>
      <c r="F75" s="16">
        <v>2</v>
      </c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31.2" x14ac:dyDescent="0.25">
      <c r="A76" s="98"/>
      <c r="B76" s="9" t="s">
        <v>69</v>
      </c>
      <c r="C76" s="6" t="s">
        <v>13</v>
      </c>
      <c r="D76" s="10" t="s">
        <v>18</v>
      </c>
      <c r="E76" s="8" t="s">
        <v>588</v>
      </c>
      <c r="F76" s="16">
        <v>6</v>
      </c>
      <c r="G76" s="99"/>
      <c r="H76" s="10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7">
        <v>30</v>
      </c>
      <c r="B77" s="9" t="s">
        <v>32</v>
      </c>
      <c r="C77" s="6" t="s">
        <v>93</v>
      </c>
      <c r="D77" s="10" t="s">
        <v>173</v>
      </c>
      <c r="E77" s="8" t="s">
        <v>623</v>
      </c>
      <c r="F77" s="16">
        <v>27</v>
      </c>
      <c r="G77" s="99">
        <f t="shared" ref="G77" si="28">SUM(F77:F78)</f>
        <v>53</v>
      </c>
      <c r="H77" s="100" t="s">
        <v>156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62.4" x14ac:dyDescent="0.25">
      <c r="A78" s="98"/>
      <c r="B78" s="9" t="s">
        <v>69</v>
      </c>
      <c r="C78" s="6" t="s">
        <v>13</v>
      </c>
      <c r="D78" s="10" t="s">
        <v>18</v>
      </c>
      <c r="E78" s="8" t="s">
        <v>589</v>
      </c>
      <c r="F78" s="16">
        <v>26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7">
        <v>31</v>
      </c>
      <c r="B79" s="9" t="s">
        <v>32</v>
      </c>
      <c r="C79" s="6" t="s">
        <v>93</v>
      </c>
      <c r="D79" s="10" t="s">
        <v>173</v>
      </c>
      <c r="E79" s="8" t="s">
        <v>624</v>
      </c>
      <c r="F79" s="16">
        <v>27</v>
      </c>
      <c r="G79" s="99">
        <f t="shared" ref="G79" si="29">SUM(F79:F80)</f>
        <v>54</v>
      </c>
      <c r="H79" s="100" t="s">
        <v>157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78" x14ac:dyDescent="0.25">
      <c r="A80" s="98"/>
      <c r="B80" s="9" t="s">
        <v>69</v>
      </c>
      <c r="C80" s="6" t="s">
        <v>13</v>
      </c>
      <c r="D80" s="10" t="s">
        <v>19</v>
      </c>
      <c r="E80" s="8" t="s">
        <v>590</v>
      </c>
      <c r="F80" s="16">
        <v>27</v>
      </c>
      <c r="G80" s="99"/>
      <c r="H80" s="10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7">
        <v>32</v>
      </c>
      <c r="B81" s="9" t="s">
        <v>32</v>
      </c>
      <c r="C81" s="6" t="s">
        <v>93</v>
      </c>
      <c r="D81" s="10" t="s">
        <v>173</v>
      </c>
      <c r="E81" s="8" t="s">
        <v>625</v>
      </c>
      <c r="F81" s="16">
        <v>27</v>
      </c>
      <c r="G81" s="99">
        <f t="shared" ref="G81" si="30">SUM(F81:F82)</f>
        <v>54</v>
      </c>
      <c r="H81" s="100" t="s">
        <v>158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8"/>
      <c r="B82" s="9" t="s">
        <v>69</v>
      </c>
      <c r="C82" s="6" t="s">
        <v>34</v>
      </c>
      <c r="D82" s="10" t="s">
        <v>642</v>
      </c>
      <c r="E82" s="8" t="s">
        <v>643</v>
      </c>
      <c r="F82" s="16">
        <v>27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7">
        <v>33</v>
      </c>
      <c r="B83" s="9" t="s">
        <v>32</v>
      </c>
      <c r="C83" s="6" t="s">
        <v>93</v>
      </c>
      <c r="D83" s="10" t="s">
        <v>173</v>
      </c>
      <c r="E83" s="8" t="s">
        <v>626</v>
      </c>
      <c r="F83" s="16">
        <v>19</v>
      </c>
      <c r="G83" s="99">
        <f t="shared" ref="G83" si="31">SUM(F83:F85)</f>
        <v>54</v>
      </c>
      <c r="H83" s="100" t="s">
        <v>159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/>
      <c r="B84" s="9" t="s">
        <v>32</v>
      </c>
      <c r="C84" s="6" t="s">
        <v>94</v>
      </c>
      <c r="D84" s="10" t="s">
        <v>173</v>
      </c>
      <c r="E84" s="8" t="s">
        <v>627</v>
      </c>
      <c r="F84" s="16">
        <v>8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8"/>
      <c r="B85" s="9" t="s">
        <v>69</v>
      </c>
      <c r="C85" s="6" t="s">
        <v>34</v>
      </c>
      <c r="D85" s="10" t="s">
        <v>642</v>
      </c>
      <c r="E85" s="8" t="s">
        <v>644</v>
      </c>
      <c r="F85" s="16">
        <v>27</v>
      </c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>
        <v>34</v>
      </c>
      <c r="B86" s="9" t="s">
        <v>32</v>
      </c>
      <c r="C86" s="6" t="s">
        <v>94</v>
      </c>
      <c r="D86" s="10" t="s">
        <v>173</v>
      </c>
      <c r="E86" s="8" t="s">
        <v>628</v>
      </c>
      <c r="F86" s="16">
        <v>27</v>
      </c>
      <c r="G86" s="99">
        <f t="shared" ref="G86" si="32">SUM(F86:F87)</f>
        <v>54</v>
      </c>
      <c r="H86" s="100" t="s">
        <v>160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 t="s">
        <v>69</v>
      </c>
      <c r="C87" s="6" t="s">
        <v>34</v>
      </c>
      <c r="D87" s="10" t="s">
        <v>642</v>
      </c>
      <c r="E87" s="8" t="s">
        <v>645</v>
      </c>
      <c r="F87" s="16">
        <v>27</v>
      </c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35</v>
      </c>
      <c r="B88" s="9" t="s">
        <v>32</v>
      </c>
      <c r="C88" s="6" t="s">
        <v>94</v>
      </c>
      <c r="D88" s="10" t="s">
        <v>173</v>
      </c>
      <c r="E88" s="8" t="s">
        <v>629</v>
      </c>
      <c r="F88" s="16">
        <v>27</v>
      </c>
      <c r="G88" s="99">
        <f t="shared" ref="G88" si="33">SUM(F88:F89)</f>
        <v>54</v>
      </c>
      <c r="H88" s="100" t="s">
        <v>161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 t="s">
        <v>69</v>
      </c>
      <c r="C89" s="6" t="s">
        <v>34</v>
      </c>
      <c r="D89" s="10" t="s">
        <v>642</v>
      </c>
      <c r="E89" s="8" t="s">
        <v>646</v>
      </c>
      <c r="F89" s="16">
        <v>27</v>
      </c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36</v>
      </c>
      <c r="B90" s="9" t="s">
        <v>32</v>
      </c>
      <c r="C90" s="6" t="s">
        <v>94</v>
      </c>
      <c r="D90" s="10" t="s">
        <v>173</v>
      </c>
      <c r="E90" s="8" t="s">
        <v>630</v>
      </c>
      <c r="F90" s="16">
        <v>27</v>
      </c>
      <c r="G90" s="99">
        <f t="shared" ref="G90" si="34">SUM(F90:F92)</f>
        <v>51</v>
      </c>
      <c r="H90" s="100" t="s">
        <v>162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31.2" x14ac:dyDescent="0.25">
      <c r="A91" s="97"/>
      <c r="B91" s="9" t="s">
        <v>69</v>
      </c>
      <c r="C91" s="6" t="s">
        <v>34</v>
      </c>
      <c r="D91" s="10" t="s">
        <v>642</v>
      </c>
      <c r="E91" s="8" t="s">
        <v>647</v>
      </c>
      <c r="F91" s="16">
        <v>20</v>
      </c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31.2" x14ac:dyDescent="0.25">
      <c r="A92" s="98"/>
      <c r="B92" s="9" t="s">
        <v>69</v>
      </c>
      <c r="C92" s="6" t="s">
        <v>457</v>
      </c>
      <c r="D92" s="10" t="s">
        <v>642</v>
      </c>
      <c r="E92" s="8" t="s">
        <v>648</v>
      </c>
      <c r="F92" s="16">
        <v>4</v>
      </c>
      <c r="G92" s="99"/>
      <c r="H92" s="10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7">
        <v>37</v>
      </c>
      <c r="B93" s="9" t="s">
        <v>32</v>
      </c>
      <c r="C93" s="6" t="s">
        <v>94</v>
      </c>
      <c r="D93" s="10" t="s">
        <v>173</v>
      </c>
      <c r="E93" s="8" t="s">
        <v>631</v>
      </c>
      <c r="F93" s="16">
        <v>27</v>
      </c>
      <c r="G93" s="99">
        <f t="shared" ref="G93" si="35">SUM(F93:F94)</f>
        <v>54</v>
      </c>
      <c r="H93" s="100" t="s">
        <v>163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8"/>
      <c r="B94" s="9" t="s">
        <v>69</v>
      </c>
      <c r="C94" s="6" t="s">
        <v>11</v>
      </c>
      <c r="D94" s="10" t="s">
        <v>183</v>
      </c>
      <c r="E94" s="8" t="s">
        <v>650</v>
      </c>
      <c r="F94" s="16">
        <v>27</v>
      </c>
      <c r="G94" s="99"/>
      <c r="H94" s="10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7">
        <v>38</v>
      </c>
      <c r="B95" s="9" t="s">
        <v>32</v>
      </c>
      <c r="C95" s="6" t="s">
        <v>94</v>
      </c>
      <c r="D95" s="10" t="s">
        <v>173</v>
      </c>
      <c r="E95" s="8" t="s">
        <v>632</v>
      </c>
      <c r="F95" s="16">
        <v>27</v>
      </c>
      <c r="G95" s="99">
        <f t="shared" ref="G95:G108" si="36">SUM(F95:F96)</f>
        <v>54</v>
      </c>
      <c r="H95" s="100" t="s">
        <v>164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8"/>
      <c r="B96" s="9" t="s">
        <v>69</v>
      </c>
      <c r="C96" s="6" t="s">
        <v>11</v>
      </c>
      <c r="D96" s="10" t="s">
        <v>183</v>
      </c>
      <c r="E96" s="8" t="s">
        <v>651</v>
      </c>
      <c r="F96" s="16">
        <v>27</v>
      </c>
      <c r="G96" s="99"/>
      <c r="H96" s="100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7">
        <v>39</v>
      </c>
      <c r="B97" s="9" t="s">
        <v>32</v>
      </c>
      <c r="C97" s="6" t="s">
        <v>94</v>
      </c>
      <c r="D97" s="10" t="s">
        <v>173</v>
      </c>
      <c r="E97" s="8" t="s">
        <v>633</v>
      </c>
      <c r="F97" s="16">
        <v>27</v>
      </c>
      <c r="G97" s="99">
        <f>SUM(F97:F100)</f>
        <v>54</v>
      </c>
      <c r="H97" s="100" t="s">
        <v>165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7"/>
      <c r="B98" s="9" t="s">
        <v>69</v>
      </c>
      <c r="C98" s="6" t="s">
        <v>33</v>
      </c>
      <c r="D98" s="10" t="s">
        <v>184</v>
      </c>
      <c r="E98" s="8" t="s">
        <v>661</v>
      </c>
      <c r="F98" s="16">
        <v>19</v>
      </c>
      <c r="G98" s="99"/>
      <c r="H98" s="10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7"/>
      <c r="B99" s="9" t="s">
        <v>69</v>
      </c>
      <c r="C99" s="6" t="s">
        <v>11</v>
      </c>
      <c r="D99" s="10" t="s">
        <v>183</v>
      </c>
      <c r="E99" s="8" t="s">
        <v>652</v>
      </c>
      <c r="F99" s="16">
        <v>7</v>
      </c>
      <c r="G99" s="99"/>
      <c r="H99" s="100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8"/>
      <c r="B100" s="9" t="s">
        <v>69</v>
      </c>
      <c r="C100" s="6" t="s">
        <v>649</v>
      </c>
      <c r="D100" s="10" t="s">
        <v>183</v>
      </c>
      <c r="E100" s="26">
        <v>2116201301040</v>
      </c>
      <c r="F100" s="16">
        <v>1</v>
      </c>
      <c r="G100" s="99"/>
      <c r="H100" s="10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7">
        <v>40</v>
      </c>
      <c r="B101" s="9" t="s">
        <v>32</v>
      </c>
      <c r="C101" s="6" t="s">
        <v>94</v>
      </c>
      <c r="D101" s="10" t="s">
        <v>173</v>
      </c>
      <c r="E101" s="8" t="s">
        <v>634</v>
      </c>
      <c r="F101" s="16">
        <v>27</v>
      </c>
      <c r="G101" s="99">
        <f t="shared" si="36"/>
        <v>54</v>
      </c>
      <c r="H101" s="100" t="s">
        <v>166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8"/>
      <c r="B102" s="9" t="s">
        <v>69</v>
      </c>
      <c r="C102" s="6" t="s">
        <v>33</v>
      </c>
      <c r="D102" s="10" t="s">
        <v>184</v>
      </c>
      <c r="E102" s="8" t="s">
        <v>662</v>
      </c>
      <c r="F102" s="16">
        <v>27</v>
      </c>
      <c r="G102" s="99"/>
      <c r="H102" s="10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7">
        <v>41</v>
      </c>
      <c r="B103" s="9" t="s">
        <v>32</v>
      </c>
      <c r="C103" s="6" t="s">
        <v>94</v>
      </c>
      <c r="D103" s="10" t="s">
        <v>173</v>
      </c>
      <c r="E103" s="26">
        <v>2116231801901</v>
      </c>
      <c r="F103" s="16">
        <v>1</v>
      </c>
      <c r="G103" s="99">
        <f>SUM(F103:F107)</f>
        <v>53</v>
      </c>
      <c r="H103" s="100" t="s">
        <v>167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/>
      <c r="B104" s="9" t="s">
        <v>32</v>
      </c>
      <c r="C104" s="6" t="s">
        <v>44</v>
      </c>
      <c r="D104" s="10" t="s">
        <v>191</v>
      </c>
      <c r="E104" s="8" t="s">
        <v>655</v>
      </c>
      <c r="F104" s="16">
        <v>2</v>
      </c>
      <c r="G104" s="99"/>
      <c r="H104" s="100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7"/>
      <c r="B105" s="9" t="s">
        <v>32</v>
      </c>
      <c r="C105" s="6" t="s">
        <v>12</v>
      </c>
      <c r="D105" s="10" t="s">
        <v>173</v>
      </c>
      <c r="E105" s="8" t="s">
        <v>635</v>
      </c>
      <c r="F105" s="16">
        <v>26</v>
      </c>
      <c r="G105" s="99"/>
      <c r="H105" s="10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31.2" x14ac:dyDescent="0.25">
      <c r="A106" s="97"/>
      <c r="B106" s="9" t="s">
        <v>69</v>
      </c>
      <c r="C106" s="6" t="s">
        <v>33</v>
      </c>
      <c r="D106" s="10" t="s">
        <v>184</v>
      </c>
      <c r="E106" s="8" t="s">
        <v>663</v>
      </c>
      <c r="F106" s="16">
        <v>20</v>
      </c>
      <c r="G106" s="99"/>
      <c r="H106" s="100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 t="s">
        <v>69</v>
      </c>
      <c r="C107" s="6" t="s">
        <v>659</v>
      </c>
      <c r="D107" s="10" t="s">
        <v>184</v>
      </c>
      <c r="E107" s="8" t="s">
        <v>660</v>
      </c>
      <c r="F107" s="16">
        <v>4</v>
      </c>
      <c r="G107" s="99"/>
      <c r="H107" s="10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42</v>
      </c>
      <c r="B108" s="9" t="s">
        <v>32</v>
      </c>
      <c r="C108" s="6" t="s">
        <v>12</v>
      </c>
      <c r="D108" s="10" t="s">
        <v>173</v>
      </c>
      <c r="E108" s="8" t="s">
        <v>636</v>
      </c>
      <c r="F108" s="16">
        <v>26</v>
      </c>
      <c r="G108" s="99">
        <f t="shared" si="36"/>
        <v>53</v>
      </c>
      <c r="H108" s="100" t="s">
        <v>168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 t="s">
        <v>69</v>
      </c>
      <c r="C109" s="6" t="s">
        <v>36</v>
      </c>
      <c r="D109" s="10" t="s">
        <v>185</v>
      </c>
      <c r="E109" s="8" t="s">
        <v>666</v>
      </c>
      <c r="F109" s="16">
        <v>27</v>
      </c>
      <c r="G109" s="99"/>
      <c r="H109" s="10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43</v>
      </c>
      <c r="B110" s="9" t="s">
        <v>32</v>
      </c>
      <c r="C110" s="6" t="s">
        <v>12</v>
      </c>
      <c r="D110" s="10" t="s">
        <v>173</v>
      </c>
      <c r="E110" s="8" t="s">
        <v>637</v>
      </c>
      <c r="F110" s="16">
        <v>12</v>
      </c>
      <c r="G110" s="99">
        <f>SUM(F110:F112)</f>
        <v>53</v>
      </c>
      <c r="H110" s="100" t="s">
        <v>169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7"/>
      <c r="B111" s="9" t="s">
        <v>32</v>
      </c>
      <c r="C111" s="6" t="s">
        <v>95</v>
      </c>
      <c r="D111" s="10" t="s">
        <v>173</v>
      </c>
      <c r="E111" s="8" t="s">
        <v>638</v>
      </c>
      <c r="F111" s="16">
        <v>14</v>
      </c>
      <c r="G111" s="99"/>
      <c r="H111" s="100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8"/>
      <c r="B112" s="9" t="s">
        <v>69</v>
      </c>
      <c r="C112" s="6" t="s">
        <v>36</v>
      </c>
      <c r="D112" s="10" t="s">
        <v>185</v>
      </c>
      <c r="E112" s="8" t="s">
        <v>667</v>
      </c>
      <c r="F112" s="16">
        <v>27</v>
      </c>
      <c r="G112" s="99"/>
      <c r="H112" s="100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7">
        <v>44</v>
      </c>
      <c r="B113" s="9" t="s">
        <v>32</v>
      </c>
      <c r="C113" s="6" t="s">
        <v>95</v>
      </c>
      <c r="D113" s="10" t="s">
        <v>173</v>
      </c>
      <c r="E113" s="8" t="s">
        <v>639</v>
      </c>
      <c r="F113" s="16">
        <v>27</v>
      </c>
      <c r="G113" s="99">
        <f>SUM(F113:F119)</f>
        <v>53</v>
      </c>
      <c r="H113" s="100" t="s">
        <v>170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62.4" x14ac:dyDescent="0.25">
      <c r="A114" s="97"/>
      <c r="B114" s="9" t="s">
        <v>69</v>
      </c>
      <c r="C114" s="6" t="s">
        <v>654</v>
      </c>
      <c r="D114" s="10" t="s">
        <v>190</v>
      </c>
      <c r="E114" s="8" t="s">
        <v>653</v>
      </c>
      <c r="F114" s="16">
        <v>8</v>
      </c>
      <c r="G114" s="99"/>
      <c r="H114" s="100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7"/>
      <c r="B115" s="9" t="s">
        <v>84</v>
      </c>
      <c r="C115" s="6" t="s">
        <v>54</v>
      </c>
      <c r="D115" s="10" t="s">
        <v>192</v>
      </c>
      <c r="E115" s="8" t="s">
        <v>656</v>
      </c>
      <c r="F115" s="16">
        <v>2</v>
      </c>
      <c r="G115" s="99"/>
      <c r="H115" s="10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/>
      <c r="B116" s="9" t="s">
        <v>84</v>
      </c>
      <c r="C116" s="6" t="s">
        <v>54</v>
      </c>
      <c r="D116" s="10" t="s">
        <v>193</v>
      </c>
      <c r="E116" s="26">
        <v>2116181101113</v>
      </c>
      <c r="F116" s="16">
        <v>1</v>
      </c>
      <c r="G116" s="99"/>
      <c r="H116" s="100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7"/>
      <c r="B117" s="9" t="s">
        <v>84</v>
      </c>
      <c r="C117" s="6" t="s">
        <v>9</v>
      </c>
      <c r="D117" s="10" t="s">
        <v>194</v>
      </c>
      <c r="E117" s="26">
        <v>2116180601016</v>
      </c>
      <c r="F117" s="16">
        <v>1</v>
      </c>
      <c r="G117" s="99"/>
      <c r="H117" s="10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/>
      <c r="B118" s="9" t="s">
        <v>69</v>
      </c>
      <c r="C118" s="6" t="s">
        <v>36</v>
      </c>
      <c r="D118" s="10" t="s">
        <v>185</v>
      </c>
      <c r="E118" s="8" t="s">
        <v>668</v>
      </c>
      <c r="F118" s="16">
        <v>12</v>
      </c>
      <c r="G118" s="99"/>
      <c r="H118" s="100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 t="s">
        <v>69</v>
      </c>
      <c r="C119" s="6" t="s">
        <v>664</v>
      </c>
      <c r="D119" s="10" t="s">
        <v>185</v>
      </c>
      <c r="E119" s="8" t="s">
        <v>665</v>
      </c>
      <c r="F119" s="16">
        <v>2</v>
      </c>
      <c r="G119" s="99"/>
      <c r="H119" s="100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31.2" x14ac:dyDescent="0.25">
      <c r="A120" s="97">
        <v>45</v>
      </c>
      <c r="B120" s="9" t="s">
        <v>32</v>
      </c>
      <c r="C120" s="6" t="s">
        <v>95</v>
      </c>
      <c r="D120" s="10" t="s">
        <v>173</v>
      </c>
      <c r="E120" s="8" t="s">
        <v>640</v>
      </c>
      <c r="F120" s="16">
        <v>25</v>
      </c>
      <c r="G120" s="99">
        <f>SUM(F120:F125)</f>
        <v>52</v>
      </c>
      <c r="H120" s="100" t="s">
        <v>172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78" x14ac:dyDescent="0.25">
      <c r="A121" s="97"/>
      <c r="B121" s="9" t="s">
        <v>20</v>
      </c>
      <c r="C121" s="6" t="s">
        <v>44</v>
      </c>
      <c r="D121" s="10" t="s">
        <v>187</v>
      </c>
      <c r="E121" s="8" t="s">
        <v>591</v>
      </c>
      <c r="F121" s="16">
        <v>9</v>
      </c>
      <c r="G121" s="99"/>
      <c r="H121" s="100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/>
      <c r="B122" s="9" t="s">
        <v>84</v>
      </c>
      <c r="C122" s="6" t="s">
        <v>120</v>
      </c>
      <c r="D122" s="10" t="s">
        <v>188</v>
      </c>
      <c r="E122" s="8" t="s">
        <v>556</v>
      </c>
      <c r="F122" s="16">
        <v>2</v>
      </c>
      <c r="G122" s="99"/>
      <c r="H122" s="100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7"/>
      <c r="B123" s="9" t="s">
        <v>69</v>
      </c>
      <c r="C123" s="6" t="s">
        <v>35</v>
      </c>
      <c r="D123" s="10" t="s">
        <v>189</v>
      </c>
      <c r="E123" s="8" t="s">
        <v>641</v>
      </c>
      <c r="F123" s="16">
        <v>2</v>
      </c>
      <c r="G123" s="99"/>
      <c r="H123" s="100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09.2" x14ac:dyDescent="0.25">
      <c r="A124" s="97"/>
      <c r="B124" s="9" t="s">
        <v>20</v>
      </c>
      <c r="C124" s="6" t="s">
        <v>658</v>
      </c>
      <c r="D124" s="10" t="s">
        <v>186</v>
      </c>
      <c r="E124" s="8" t="s">
        <v>657</v>
      </c>
      <c r="F124" s="16">
        <v>14</v>
      </c>
      <c r="G124" s="99"/>
      <c r="H124" s="10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0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 x14ac:dyDescent="0.3">
      <c r="A126" s="101" t="s">
        <v>15</v>
      </c>
      <c r="B126" s="101"/>
      <c r="C126" s="101"/>
      <c r="D126" s="101"/>
      <c r="E126" s="101"/>
      <c r="F126" s="24"/>
      <c r="G126" s="17">
        <f>SUM(G8:G125)</f>
        <v>2416</v>
      </c>
      <c r="H126" s="18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">
      <c r="A127" s="102"/>
      <c r="B127" s="103"/>
      <c r="C127" s="103"/>
      <c r="D127" s="103"/>
      <c r="E127" s="103"/>
      <c r="F127" s="104"/>
      <c r="G127" s="104"/>
      <c r="H127" s="10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">
      <c r="A128" s="106" t="s">
        <v>16</v>
      </c>
      <c r="B128" s="107"/>
      <c r="C128" s="107"/>
      <c r="D128" s="107"/>
      <c r="E128" s="107"/>
      <c r="F128" s="107"/>
      <c r="G128" s="107"/>
      <c r="H128" s="108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">
      <c r="A129" s="106" t="s">
        <v>70</v>
      </c>
      <c r="B129" s="107"/>
      <c r="C129" s="107"/>
      <c r="D129" s="107"/>
      <c r="E129" s="107"/>
      <c r="F129" s="107"/>
      <c r="G129" s="107"/>
      <c r="H129" s="108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">
      <c r="A130" s="109"/>
      <c r="B130" s="110"/>
      <c r="C130" s="110"/>
      <c r="D130" s="110"/>
      <c r="E130" s="110"/>
      <c r="F130" s="110"/>
      <c r="G130" s="110"/>
      <c r="H130" s="11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">
      <c r="A131" s="22"/>
      <c r="B131" s="25"/>
      <c r="C131" s="25"/>
      <c r="D131" s="25"/>
      <c r="E131" s="25"/>
      <c r="F131" s="25"/>
      <c r="G131" s="25"/>
      <c r="H131" s="2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">
      <c r="A132" s="83" t="s">
        <v>17</v>
      </c>
      <c r="B132" s="84"/>
      <c r="C132" s="84"/>
      <c r="D132" s="84"/>
      <c r="E132" s="84"/>
      <c r="F132" s="84"/>
      <c r="G132" s="84"/>
      <c r="H132" s="8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86"/>
      <c r="B133" s="87"/>
      <c r="C133" s="87"/>
      <c r="D133" s="87"/>
      <c r="E133" s="87"/>
      <c r="F133" s="87"/>
      <c r="G133" s="87"/>
      <c r="H133" s="88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2"/>
      <c r="B134" s="12"/>
      <c r="C134" s="12"/>
      <c r="D134" s="12"/>
      <c r="E134" s="12"/>
      <c r="F134" s="12"/>
      <c r="G134" s="12"/>
      <c r="H134" s="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2"/>
      <c r="B135" s="12"/>
      <c r="C135" s="12"/>
      <c r="D135" s="12"/>
      <c r="E135" s="12"/>
      <c r="F135" s="12"/>
      <c r="G135" s="12"/>
      <c r="H135" s="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2"/>
      <c r="B136" s="12"/>
      <c r="C136" s="12"/>
      <c r="D136" s="12"/>
      <c r="E136" s="12"/>
      <c r="F136" s="12"/>
      <c r="G136" s="12"/>
      <c r="H136" s="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2"/>
      <c r="B137" s="12"/>
      <c r="C137" s="12"/>
      <c r="D137" s="12"/>
      <c r="E137" s="12"/>
      <c r="F137" s="12"/>
      <c r="G137" s="12"/>
      <c r="H137" s="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2"/>
      <c r="B138" s="12"/>
      <c r="C138" s="12"/>
      <c r="D138" s="12"/>
      <c r="E138" s="12"/>
      <c r="F138" s="12"/>
      <c r="G138" s="12"/>
      <c r="H138" s="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12"/>
      <c r="B139" s="12"/>
      <c r="C139" s="12"/>
      <c r="D139" s="12"/>
      <c r="E139" s="12"/>
      <c r="F139" s="12"/>
      <c r="G139" s="12"/>
      <c r="H139" s="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</sheetData>
  <autoFilter ref="A7:Y126" xr:uid="{00000000-0009-0000-0000-000003000000}"/>
  <mergeCells count="146">
    <mergeCell ref="A10:A11"/>
    <mergeCell ref="G10:G11"/>
    <mergeCell ref="H10:H11"/>
    <mergeCell ref="A12:A13"/>
    <mergeCell ref="G12:G13"/>
    <mergeCell ref="H12:H13"/>
    <mergeCell ref="A1:H1"/>
    <mergeCell ref="A2:H2"/>
    <mergeCell ref="A3:H3"/>
    <mergeCell ref="A4:H4"/>
    <mergeCell ref="A5:H5"/>
    <mergeCell ref="A8:A9"/>
    <mergeCell ref="G8:G9"/>
    <mergeCell ref="H8:H9"/>
    <mergeCell ref="A19:A20"/>
    <mergeCell ref="G19:G20"/>
    <mergeCell ref="H19:H20"/>
    <mergeCell ref="A21:A22"/>
    <mergeCell ref="G21:G22"/>
    <mergeCell ref="H21:H22"/>
    <mergeCell ref="A14:A15"/>
    <mergeCell ref="G14:G15"/>
    <mergeCell ref="H14:H15"/>
    <mergeCell ref="A16:A18"/>
    <mergeCell ref="G16:G18"/>
    <mergeCell ref="H16:H18"/>
    <mergeCell ref="A27:A28"/>
    <mergeCell ref="G27:G28"/>
    <mergeCell ref="H27:H28"/>
    <mergeCell ref="A29:A30"/>
    <mergeCell ref="G29:G30"/>
    <mergeCell ref="H29:H30"/>
    <mergeCell ref="A23:A24"/>
    <mergeCell ref="G23:G24"/>
    <mergeCell ref="H23:H24"/>
    <mergeCell ref="A25:A26"/>
    <mergeCell ref="G25:G26"/>
    <mergeCell ref="H25:H26"/>
    <mergeCell ref="A36:A38"/>
    <mergeCell ref="G36:G38"/>
    <mergeCell ref="H36:H38"/>
    <mergeCell ref="A39:A41"/>
    <mergeCell ref="G39:G41"/>
    <mergeCell ref="H39:H41"/>
    <mergeCell ref="A31:A33"/>
    <mergeCell ref="G31:G33"/>
    <mergeCell ref="H31:H33"/>
    <mergeCell ref="A34:A35"/>
    <mergeCell ref="G34:G35"/>
    <mergeCell ref="H34:H35"/>
    <mergeCell ref="A49:A50"/>
    <mergeCell ref="G49:G50"/>
    <mergeCell ref="H49:H50"/>
    <mergeCell ref="A51:A52"/>
    <mergeCell ref="G51:G52"/>
    <mergeCell ref="H51:H52"/>
    <mergeCell ref="A42:A46"/>
    <mergeCell ref="G42:G46"/>
    <mergeCell ref="H42:H46"/>
    <mergeCell ref="A47:A48"/>
    <mergeCell ref="G47:G48"/>
    <mergeCell ref="H47:H48"/>
    <mergeCell ref="A57:A58"/>
    <mergeCell ref="G57:G58"/>
    <mergeCell ref="H57:H58"/>
    <mergeCell ref="A59:A61"/>
    <mergeCell ref="G59:G61"/>
    <mergeCell ref="H59:H61"/>
    <mergeCell ref="A53:A54"/>
    <mergeCell ref="G53:G54"/>
    <mergeCell ref="H53:H54"/>
    <mergeCell ref="A55:A56"/>
    <mergeCell ref="G55:G56"/>
    <mergeCell ref="H55:H56"/>
    <mergeCell ref="A66:A68"/>
    <mergeCell ref="G66:G68"/>
    <mergeCell ref="H66:H68"/>
    <mergeCell ref="A69:A70"/>
    <mergeCell ref="G69:G70"/>
    <mergeCell ref="H69:H70"/>
    <mergeCell ref="A62:A63"/>
    <mergeCell ref="G62:G63"/>
    <mergeCell ref="H62:H63"/>
    <mergeCell ref="A64:A65"/>
    <mergeCell ref="G64:G65"/>
    <mergeCell ref="H64:H65"/>
    <mergeCell ref="A77:A78"/>
    <mergeCell ref="G77:G78"/>
    <mergeCell ref="H77:H78"/>
    <mergeCell ref="A79:A80"/>
    <mergeCell ref="G79:G80"/>
    <mergeCell ref="H79:H80"/>
    <mergeCell ref="A71:A72"/>
    <mergeCell ref="G71:G72"/>
    <mergeCell ref="H71:H72"/>
    <mergeCell ref="A73:A76"/>
    <mergeCell ref="G73:G76"/>
    <mergeCell ref="H73:H76"/>
    <mergeCell ref="A86:A87"/>
    <mergeCell ref="G86:G87"/>
    <mergeCell ref="H86:H87"/>
    <mergeCell ref="A88:A89"/>
    <mergeCell ref="G88:G89"/>
    <mergeCell ref="H88:H89"/>
    <mergeCell ref="A81:A82"/>
    <mergeCell ref="G81:G82"/>
    <mergeCell ref="H81:H82"/>
    <mergeCell ref="A83:A85"/>
    <mergeCell ref="G83:G85"/>
    <mergeCell ref="H83:H85"/>
    <mergeCell ref="A95:A96"/>
    <mergeCell ref="G95:G96"/>
    <mergeCell ref="H95:H96"/>
    <mergeCell ref="A97:A100"/>
    <mergeCell ref="G97:G100"/>
    <mergeCell ref="H97:H100"/>
    <mergeCell ref="A90:A92"/>
    <mergeCell ref="G90:G92"/>
    <mergeCell ref="H90:H92"/>
    <mergeCell ref="A93:A94"/>
    <mergeCell ref="G93:G94"/>
    <mergeCell ref="H93:H94"/>
    <mergeCell ref="A108:A109"/>
    <mergeCell ref="G108:G109"/>
    <mergeCell ref="H108:H109"/>
    <mergeCell ref="A110:A112"/>
    <mergeCell ref="G110:G112"/>
    <mergeCell ref="H110:H112"/>
    <mergeCell ref="A101:A102"/>
    <mergeCell ref="G101:G102"/>
    <mergeCell ref="H101:H102"/>
    <mergeCell ref="A103:A107"/>
    <mergeCell ref="G103:G107"/>
    <mergeCell ref="H103:H107"/>
    <mergeCell ref="A129:H129"/>
    <mergeCell ref="A130:H130"/>
    <mergeCell ref="A132:H133"/>
    <mergeCell ref="A126:E126"/>
    <mergeCell ref="A127:H127"/>
    <mergeCell ref="A128:H128"/>
    <mergeCell ref="A113:A119"/>
    <mergeCell ref="G113:G119"/>
    <mergeCell ref="H113:H119"/>
    <mergeCell ref="A120:A125"/>
    <mergeCell ref="G120:G125"/>
    <mergeCell ref="H120:H125"/>
  </mergeCells>
  <phoneticPr fontId="14" type="noConversion"/>
  <pageMargins left="0.7" right="0.7" top="0.75" bottom="0.75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00B0F0"/>
    <outlinePr summaryBelow="0" summaryRight="0"/>
  </sheetPr>
  <dimension ref="A1:Y680"/>
  <sheetViews>
    <sheetView zoomScale="85" zoomScaleNormal="85" workbookViewId="0">
      <pane ySplit="7" topLeftCell="A8" activePane="bottomLeft" state="frozen"/>
      <selection pane="bottomLeft" activeCell="G16" sqref="F16:G17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141</v>
      </c>
      <c r="K2" s="12">
        <v>2607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125</v>
      </c>
      <c r="B4" s="115"/>
      <c r="C4" s="116"/>
      <c r="D4" s="116"/>
      <c r="E4" s="116"/>
      <c r="F4" s="116"/>
      <c r="G4" s="116"/>
      <c r="H4" s="116"/>
      <c r="I4" s="12"/>
      <c r="J4" s="12">
        <f>J2/J3</f>
        <v>5.2222222222222223</v>
      </c>
      <c r="K4" s="12">
        <f>K2/K3</f>
        <v>48.277777777777779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98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69</v>
      </c>
      <c r="C8" s="6" t="s">
        <v>38</v>
      </c>
      <c r="D8" s="10" t="s">
        <v>198</v>
      </c>
      <c r="E8" s="8"/>
      <c r="F8" s="16">
        <v>27</v>
      </c>
      <c r="G8" s="99">
        <f>SUM(F8:F10)</f>
        <v>54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7"/>
      <c r="B9" s="9" t="s">
        <v>32</v>
      </c>
      <c r="C9" s="6" t="s">
        <v>9</v>
      </c>
      <c r="D9" s="10" t="s">
        <v>203</v>
      </c>
      <c r="E9" s="8"/>
      <c r="F9" s="16">
        <v>19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8"/>
      <c r="B10" s="9" t="s">
        <v>69</v>
      </c>
      <c r="C10" s="6" t="s">
        <v>77</v>
      </c>
      <c r="D10" s="10" t="s">
        <v>202</v>
      </c>
      <c r="E10" s="8"/>
      <c r="F10" s="16">
        <v>8</v>
      </c>
      <c r="G10" s="99"/>
      <c r="H10" s="100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7">
        <v>2</v>
      </c>
      <c r="B11" s="9" t="s">
        <v>69</v>
      </c>
      <c r="C11" s="6" t="s">
        <v>38</v>
      </c>
      <c r="D11" s="10" t="s">
        <v>198</v>
      </c>
      <c r="E11" s="8"/>
      <c r="F11" s="16">
        <v>27</v>
      </c>
      <c r="G11" s="99">
        <f t="shared" ref="G11" si="0">SUM(F11:F12)</f>
        <v>54</v>
      </c>
      <c r="H11" s="100" t="s">
        <v>128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8"/>
      <c r="B12" s="9" t="s">
        <v>32</v>
      </c>
      <c r="C12" s="6" t="s">
        <v>9</v>
      </c>
      <c r="D12" s="10" t="s">
        <v>203</v>
      </c>
      <c r="E12" s="8"/>
      <c r="F12" s="16">
        <v>27</v>
      </c>
      <c r="G12" s="99"/>
      <c r="H12" s="10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7">
        <v>3</v>
      </c>
      <c r="B13" s="9" t="s">
        <v>69</v>
      </c>
      <c r="C13" s="6" t="s">
        <v>38</v>
      </c>
      <c r="D13" s="10" t="s">
        <v>198</v>
      </c>
      <c r="E13" s="8"/>
      <c r="F13" s="16">
        <v>27</v>
      </c>
      <c r="G13" s="99">
        <f t="shared" ref="G13" si="1">SUM(F13:F15)</f>
        <v>54</v>
      </c>
      <c r="H13" s="100" t="s">
        <v>129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/>
      <c r="B14" s="9" t="s">
        <v>32</v>
      </c>
      <c r="C14" s="6" t="s">
        <v>13</v>
      </c>
      <c r="D14" s="10" t="s">
        <v>204</v>
      </c>
      <c r="E14" s="8"/>
      <c r="F14" s="16">
        <v>7</v>
      </c>
      <c r="G14" s="99"/>
      <c r="H14" s="10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 t="s">
        <v>69</v>
      </c>
      <c r="C15" s="6" t="s">
        <v>9</v>
      </c>
      <c r="D15" s="10" t="s">
        <v>203</v>
      </c>
      <c r="E15" s="8"/>
      <c r="F15" s="16">
        <v>20</v>
      </c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4</v>
      </c>
      <c r="B16" s="9" t="s">
        <v>69</v>
      </c>
      <c r="C16" s="6" t="s">
        <v>38</v>
      </c>
      <c r="D16" s="10" t="s">
        <v>198</v>
      </c>
      <c r="E16" s="8"/>
      <c r="F16" s="16">
        <v>27</v>
      </c>
      <c r="G16" s="99">
        <f t="shared" ref="G16" si="2">SUM(F16:F17)</f>
        <v>54</v>
      </c>
      <c r="H16" s="100" t="s">
        <v>130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8"/>
      <c r="B17" s="9" t="s">
        <v>32</v>
      </c>
      <c r="C17" s="6" t="s">
        <v>13</v>
      </c>
      <c r="D17" s="10" t="s">
        <v>204</v>
      </c>
      <c r="E17" s="8"/>
      <c r="F17" s="16">
        <v>27</v>
      </c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>
        <v>5</v>
      </c>
      <c r="B18" s="9" t="s">
        <v>69</v>
      </c>
      <c r="C18" s="6" t="s">
        <v>38</v>
      </c>
      <c r="D18" s="10" t="s">
        <v>198</v>
      </c>
      <c r="E18" s="8"/>
      <c r="F18" s="16">
        <v>27</v>
      </c>
      <c r="G18" s="99">
        <f t="shared" ref="G18" si="3">SUM(F18:F19)</f>
        <v>54</v>
      </c>
      <c r="H18" s="100" t="s">
        <v>131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 t="s">
        <v>32</v>
      </c>
      <c r="C19" s="6" t="s">
        <v>13</v>
      </c>
      <c r="D19" s="10" t="s">
        <v>204</v>
      </c>
      <c r="E19" s="8"/>
      <c r="F19" s="16">
        <v>27</v>
      </c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6</v>
      </c>
      <c r="B20" s="9" t="s">
        <v>69</v>
      </c>
      <c r="C20" s="6" t="s">
        <v>38</v>
      </c>
      <c r="D20" s="10" t="s">
        <v>198</v>
      </c>
      <c r="E20" s="8"/>
      <c r="F20" s="16">
        <v>27</v>
      </c>
      <c r="G20" s="99">
        <f t="shared" ref="G20" si="4">SUM(F20:F22)</f>
        <v>54</v>
      </c>
      <c r="H20" s="100" t="s">
        <v>132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7"/>
      <c r="B21" s="9" t="s">
        <v>32</v>
      </c>
      <c r="C21" s="6" t="s">
        <v>13</v>
      </c>
      <c r="D21" s="10" t="s">
        <v>204</v>
      </c>
      <c r="E21" s="8"/>
      <c r="F21" s="16">
        <v>3</v>
      </c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8"/>
      <c r="B22" s="9" t="s">
        <v>69</v>
      </c>
      <c r="C22" s="6" t="s">
        <v>35</v>
      </c>
      <c r="D22" s="10" t="s">
        <v>205</v>
      </c>
      <c r="E22" s="8"/>
      <c r="F22" s="16">
        <v>24</v>
      </c>
      <c r="G22" s="99"/>
      <c r="H22" s="10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7">
        <v>7</v>
      </c>
      <c r="B23" s="9" t="s">
        <v>69</v>
      </c>
      <c r="C23" s="6" t="s">
        <v>38</v>
      </c>
      <c r="D23" s="10" t="s">
        <v>198</v>
      </c>
      <c r="E23" s="8"/>
      <c r="F23" s="16">
        <v>27</v>
      </c>
      <c r="G23" s="99">
        <f t="shared" ref="G23" si="5">SUM(F23:F24)</f>
        <v>54</v>
      </c>
      <c r="H23" s="100" t="s">
        <v>133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8"/>
      <c r="B24" s="9" t="s">
        <v>69</v>
      </c>
      <c r="C24" s="6" t="s">
        <v>35</v>
      </c>
      <c r="D24" s="10" t="s">
        <v>205</v>
      </c>
      <c r="E24" s="8"/>
      <c r="F24" s="16">
        <v>27</v>
      </c>
      <c r="G24" s="99"/>
      <c r="H24" s="10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7">
        <v>8</v>
      </c>
      <c r="B25" s="9" t="s">
        <v>69</v>
      </c>
      <c r="C25" s="6" t="s">
        <v>38</v>
      </c>
      <c r="D25" s="10" t="s">
        <v>198</v>
      </c>
      <c r="E25" s="8"/>
      <c r="F25" s="16">
        <v>17</v>
      </c>
      <c r="G25" s="99">
        <f t="shared" ref="G25" si="6">SUM(F25:F27)</f>
        <v>54</v>
      </c>
      <c r="H25" s="100" t="s">
        <v>134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/>
      <c r="B26" s="9" t="s">
        <v>69</v>
      </c>
      <c r="C26" s="6" t="s">
        <v>44</v>
      </c>
      <c r="D26" s="10" t="s">
        <v>198</v>
      </c>
      <c r="E26" s="8"/>
      <c r="F26" s="16">
        <v>10</v>
      </c>
      <c r="G26" s="99"/>
      <c r="H26" s="100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 t="s">
        <v>69</v>
      </c>
      <c r="C27" s="6" t="s">
        <v>35</v>
      </c>
      <c r="D27" s="10" t="s">
        <v>205</v>
      </c>
      <c r="E27" s="8"/>
      <c r="F27" s="16">
        <v>27</v>
      </c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9</v>
      </c>
      <c r="B28" s="9" t="s">
        <v>69</v>
      </c>
      <c r="C28" s="6" t="s">
        <v>44</v>
      </c>
      <c r="D28" s="10" t="s">
        <v>198</v>
      </c>
      <c r="E28" s="8"/>
      <c r="F28" s="16">
        <v>27</v>
      </c>
      <c r="G28" s="99">
        <f t="shared" ref="G28" si="7">SUM(F28:F29)</f>
        <v>54</v>
      </c>
      <c r="H28" s="100" t="s">
        <v>135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8"/>
      <c r="B29" s="9" t="s">
        <v>69</v>
      </c>
      <c r="C29" s="6" t="s">
        <v>35</v>
      </c>
      <c r="D29" s="10" t="s">
        <v>205</v>
      </c>
      <c r="E29" s="8"/>
      <c r="F29" s="16">
        <v>27</v>
      </c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10</v>
      </c>
      <c r="B30" s="9" t="s">
        <v>69</v>
      </c>
      <c r="C30" s="6" t="s">
        <v>44</v>
      </c>
      <c r="D30" s="10" t="s">
        <v>198</v>
      </c>
      <c r="E30" s="8"/>
      <c r="F30" s="16">
        <v>27</v>
      </c>
      <c r="G30" s="99">
        <f t="shared" ref="G30" si="8">SUM(F30:F31)</f>
        <v>54</v>
      </c>
      <c r="H30" s="100" t="s">
        <v>136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 t="s">
        <v>69</v>
      </c>
      <c r="C31" s="6" t="s">
        <v>35</v>
      </c>
      <c r="D31" s="10" t="s">
        <v>205</v>
      </c>
      <c r="E31" s="8"/>
      <c r="F31" s="16">
        <v>27</v>
      </c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11</v>
      </c>
      <c r="B32" s="9" t="s">
        <v>69</v>
      </c>
      <c r="C32" s="6" t="s">
        <v>44</v>
      </c>
      <c r="D32" s="10" t="s">
        <v>198</v>
      </c>
      <c r="E32" s="8"/>
      <c r="F32" s="16">
        <v>27</v>
      </c>
      <c r="G32" s="99">
        <f t="shared" ref="G32" si="9">SUM(F32:F33)</f>
        <v>54</v>
      </c>
      <c r="H32" s="100" t="s">
        <v>137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 t="s">
        <v>69</v>
      </c>
      <c r="C33" s="6" t="s">
        <v>35</v>
      </c>
      <c r="D33" s="10" t="s">
        <v>205</v>
      </c>
      <c r="E33" s="8"/>
      <c r="F33" s="16">
        <v>27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12</v>
      </c>
      <c r="B34" s="9" t="s">
        <v>69</v>
      </c>
      <c r="C34" s="6" t="s">
        <v>44</v>
      </c>
      <c r="D34" s="10" t="s">
        <v>198</v>
      </c>
      <c r="E34" s="8"/>
      <c r="F34" s="16">
        <v>27</v>
      </c>
      <c r="G34" s="99">
        <f t="shared" ref="G34" si="10">SUM(F34:F35)</f>
        <v>54</v>
      </c>
      <c r="H34" s="100" t="s">
        <v>138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 t="s">
        <v>69</v>
      </c>
      <c r="C35" s="6" t="s">
        <v>35</v>
      </c>
      <c r="D35" s="10" t="s">
        <v>205</v>
      </c>
      <c r="E35" s="8"/>
      <c r="F35" s="16">
        <v>27</v>
      </c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13</v>
      </c>
      <c r="B36" s="9" t="s">
        <v>69</v>
      </c>
      <c r="C36" s="6" t="s">
        <v>44</v>
      </c>
      <c r="D36" s="10" t="s">
        <v>198</v>
      </c>
      <c r="E36" s="8"/>
      <c r="F36" s="16">
        <v>27</v>
      </c>
      <c r="G36" s="99">
        <f t="shared" ref="G36" si="11">SUM(F36:F37)</f>
        <v>54</v>
      </c>
      <c r="H36" s="100" t="s">
        <v>139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 t="s">
        <v>69</v>
      </c>
      <c r="C37" s="6" t="s">
        <v>35</v>
      </c>
      <c r="D37" s="10" t="s">
        <v>205</v>
      </c>
      <c r="E37" s="8"/>
      <c r="F37" s="16">
        <v>27</v>
      </c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14</v>
      </c>
      <c r="B38" s="9" t="s">
        <v>69</v>
      </c>
      <c r="C38" s="6" t="s">
        <v>44</v>
      </c>
      <c r="D38" s="10" t="s">
        <v>198</v>
      </c>
      <c r="E38" s="8"/>
      <c r="F38" s="16">
        <v>27</v>
      </c>
      <c r="G38" s="99">
        <f t="shared" ref="G38" si="12">SUM(F38:F39)</f>
        <v>54</v>
      </c>
      <c r="H38" s="100" t="s">
        <v>140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 t="s">
        <v>69</v>
      </c>
      <c r="C39" s="6" t="s">
        <v>35</v>
      </c>
      <c r="D39" s="10" t="s">
        <v>205</v>
      </c>
      <c r="E39" s="8"/>
      <c r="F39" s="16">
        <v>27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15</v>
      </c>
      <c r="B40" s="9" t="s">
        <v>69</v>
      </c>
      <c r="C40" s="6" t="s">
        <v>44</v>
      </c>
      <c r="D40" s="10" t="s">
        <v>198</v>
      </c>
      <c r="E40" s="8"/>
      <c r="F40" s="16">
        <v>27</v>
      </c>
      <c r="G40" s="99">
        <f t="shared" ref="G40" si="13">SUM(F40:F41)</f>
        <v>54</v>
      </c>
      <c r="H40" s="100" t="s">
        <v>141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 t="s">
        <v>69</v>
      </c>
      <c r="C41" s="6" t="s">
        <v>35</v>
      </c>
      <c r="D41" s="10" t="s">
        <v>205</v>
      </c>
      <c r="E41" s="8"/>
      <c r="F41" s="16">
        <v>27</v>
      </c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16</v>
      </c>
      <c r="B42" s="9" t="s">
        <v>69</v>
      </c>
      <c r="C42" s="6" t="s">
        <v>44</v>
      </c>
      <c r="D42" s="10" t="s">
        <v>198</v>
      </c>
      <c r="E42" s="8"/>
      <c r="F42" s="16">
        <v>27</v>
      </c>
      <c r="G42" s="99">
        <f t="shared" ref="G42" si="14">SUM(F42:F44)</f>
        <v>54</v>
      </c>
      <c r="H42" s="100" t="s">
        <v>142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7"/>
      <c r="B43" s="9" t="s">
        <v>32</v>
      </c>
      <c r="C43" s="6" t="s">
        <v>35</v>
      </c>
      <c r="D43" s="10" t="s">
        <v>206</v>
      </c>
      <c r="E43" s="8"/>
      <c r="F43" s="16">
        <v>5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8"/>
      <c r="B44" s="9" t="s">
        <v>69</v>
      </c>
      <c r="C44" s="6" t="s">
        <v>35</v>
      </c>
      <c r="D44" s="10" t="s">
        <v>205</v>
      </c>
      <c r="E44" s="8"/>
      <c r="F44" s="16">
        <v>22</v>
      </c>
      <c r="G44" s="99"/>
      <c r="H44" s="10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>
        <v>17</v>
      </c>
      <c r="B45" s="9" t="s">
        <v>69</v>
      </c>
      <c r="C45" s="6" t="s">
        <v>44</v>
      </c>
      <c r="D45" s="10" t="s">
        <v>198</v>
      </c>
      <c r="E45" s="8"/>
      <c r="F45" s="16">
        <v>27</v>
      </c>
      <c r="G45" s="99">
        <f t="shared" ref="G45" si="15">SUM(F45:F46)</f>
        <v>54</v>
      </c>
      <c r="H45" s="100" t="s">
        <v>143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8"/>
      <c r="B46" s="9" t="s">
        <v>32</v>
      </c>
      <c r="C46" s="6" t="s">
        <v>35</v>
      </c>
      <c r="D46" s="10" t="s">
        <v>206</v>
      </c>
      <c r="E46" s="8"/>
      <c r="F46" s="16">
        <v>27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18</v>
      </c>
      <c r="B47" s="9" t="s">
        <v>69</v>
      </c>
      <c r="C47" s="6" t="s">
        <v>44</v>
      </c>
      <c r="D47" s="10" t="s">
        <v>198</v>
      </c>
      <c r="E47" s="8"/>
      <c r="F47" s="16">
        <v>27</v>
      </c>
      <c r="G47" s="99">
        <f t="shared" ref="G47" si="16">SUM(F47:F48)</f>
        <v>54</v>
      </c>
      <c r="H47" s="100" t="s">
        <v>144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8"/>
      <c r="B48" s="9" t="s">
        <v>32</v>
      </c>
      <c r="C48" s="6" t="s">
        <v>35</v>
      </c>
      <c r="D48" s="10" t="s">
        <v>206</v>
      </c>
      <c r="E48" s="8"/>
      <c r="F48" s="16">
        <v>27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19</v>
      </c>
      <c r="B49" s="9" t="s">
        <v>69</v>
      </c>
      <c r="C49" s="6" t="s">
        <v>44</v>
      </c>
      <c r="D49" s="10" t="s">
        <v>198</v>
      </c>
      <c r="E49" s="8"/>
      <c r="F49" s="16">
        <v>27</v>
      </c>
      <c r="G49" s="99">
        <f t="shared" ref="G49" si="17">SUM(F49:F50)</f>
        <v>54</v>
      </c>
      <c r="H49" s="100" t="s">
        <v>145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8"/>
      <c r="B50" s="9" t="s">
        <v>32</v>
      </c>
      <c r="C50" s="6" t="s">
        <v>35</v>
      </c>
      <c r="D50" s="10" t="s">
        <v>206</v>
      </c>
      <c r="E50" s="8"/>
      <c r="F50" s="16">
        <v>27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>
        <v>20</v>
      </c>
      <c r="B51" s="9" t="s">
        <v>69</v>
      </c>
      <c r="C51" s="6" t="s">
        <v>44</v>
      </c>
      <c r="D51" s="10" t="s">
        <v>198</v>
      </c>
      <c r="E51" s="8"/>
      <c r="F51" s="16">
        <v>27</v>
      </c>
      <c r="G51" s="99">
        <f t="shared" ref="G51" si="18">SUM(F51:F52)</f>
        <v>54</v>
      </c>
      <c r="H51" s="100" t="s">
        <v>146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8"/>
      <c r="B52" s="9" t="s">
        <v>32</v>
      </c>
      <c r="C52" s="6" t="s">
        <v>35</v>
      </c>
      <c r="D52" s="10" t="s">
        <v>206</v>
      </c>
      <c r="E52" s="8"/>
      <c r="F52" s="16">
        <v>27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7">
        <v>21</v>
      </c>
      <c r="B53" s="9" t="s">
        <v>69</v>
      </c>
      <c r="C53" s="6" t="s">
        <v>44</v>
      </c>
      <c r="D53" s="10" t="s">
        <v>198</v>
      </c>
      <c r="E53" s="8"/>
      <c r="F53" s="16">
        <v>22</v>
      </c>
      <c r="G53" s="99">
        <f t="shared" ref="G53" si="19">SUM(F53:F56)</f>
        <v>54</v>
      </c>
      <c r="H53" s="100" t="s">
        <v>147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/>
      <c r="B54" s="9" t="s">
        <v>69</v>
      </c>
      <c r="C54" s="6" t="s">
        <v>8</v>
      </c>
      <c r="D54" s="10" t="s">
        <v>199</v>
      </c>
      <c r="E54" s="8"/>
      <c r="F54" s="16">
        <v>1</v>
      </c>
      <c r="G54" s="99"/>
      <c r="H54" s="10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/>
      <c r="B55" s="9" t="s">
        <v>69</v>
      </c>
      <c r="C55" s="6" t="s">
        <v>93</v>
      </c>
      <c r="D55" s="10" t="s">
        <v>198</v>
      </c>
      <c r="E55" s="8"/>
      <c r="F55" s="16">
        <v>4</v>
      </c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8"/>
      <c r="B56" s="9" t="s">
        <v>32</v>
      </c>
      <c r="C56" s="6" t="s">
        <v>35</v>
      </c>
      <c r="D56" s="10" t="s">
        <v>206</v>
      </c>
      <c r="E56" s="8"/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22</v>
      </c>
      <c r="B57" s="9" t="s">
        <v>69</v>
      </c>
      <c r="C57" s="6" t="s">
        <v>93</v>
      </c>
      <c r="D57" s="10" t="s">
        <v>198</v>
      </c>
      <c r="E57" s="8"/>
      <c r="F57" s="16">
        <v>27</v>
      </c>
      <c r="G57" s="99">
        <f t="shared" ref="G57" si="20">SUM(F57:F58)</f>
        <v>54</v>
      </c>
      <c r="H57" s="100" t="s">
        <v>148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8"/>
      <c r="B58" s="9" t="s">
        <v>32</v>
      </c>
      <c r="C58" s="6" t="s">
        <v>35</v>
      </c>
      <c r="D58" s="10" t="s">
        <v>206</v>
      </c>
      <c r="E58" s="8"/>
      <c r="F58" s="16">
        <v>27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7">
        <v>23</v>
      </c>
      <c r="B59" s="9" t="s">
        <v>69</v>
      </c>
      <c r="C59" s="6" t="s">
        <v>93</v>
      </c>
      <c r="D59" s="10" t="s">
        <v>198</v>
      </c>
      <c r="E59" s="8"/>
      <c r="F59" s="16">
        <v>27</v>
      </c>
      <c r="G59" s="99">
        <f t="shared" ref="G59" si="21">SUM(F59:F60)</f>
        <v>54</v>
      </c>
      <c r="H59" s="100" t="s">
        <v>149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8"/>
      <c r="B60" s="9" t="s">
        <v>32</v>
      </c>
      <c r="C60" s="6" t="s">
        <v>35</v>
      </c>
      <c r="D60" s="10" t="s">
        <v>206</v>
      </c>
      <c r="E60" s="8"/>
      <c r="F60" s="16">
        <v>27</v>
      </c>
      <c r="G60" s="99"/>
      <c r="H60" s="10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7">
        <v>24</v>
      </c>
      <c r="B61" s="9" t="s">
        <v>69</v>
      </c>
      <c r="C61" s="6" t="s">
        <v>93</v>
      </c>
      <c r="D61" s="10" t="s">
        <v>198</v>
      </c>
      <c r="E61" s="8"/>
      <c r="F61" s="16">
        <v>27</v>
      </c>
      <c r="G61" s="99">
        <f t="shared" ref="G61" si="22">SUM(F61:F62)</f>
        <v>54</v>
      </c>
      <c r="H61" s="100" t="s">
        <v>150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8"/>
      <c r="B62" s="9" t="s">
        <v>32</v>
      </c>
      <c r="C62" s="6" t="s">
        <v>35</v>
      </c>
      <c r="D62" s="10" t="s">
        <v>206</v>
      </c>
      <c r="E62" s="8"/>
      <c r="F62" s="16">
        <v>27</v>
      </c>
      <c r="G62" s="99"/>
      <c r="H62" s="100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7">
        <v>25</v>
      </c>
      <c r="B63" s="9" t="s">
        <v>69</v>
      </c>
      <c r="C63" s="6" t="s">
        <v>93</v>
      </c>
      <c r="D63" s="10" t="s">
        <v>198</v>
      </c>
      <c r="E63" s="8"/>
      <c r="F63" s="16">
        <v>27</v>
      </c>
      <c r="G63" s="99">
        <f t="shared" ref="G63" si="23">SUM(F63:F64)</f>
        <v>54</v>
      </c>
      <c r="H63" s="100" t="s">
        <v>151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8"/>
      <c r="B64" s="9" t="s">
        <v>32</v>
      </c>
      <c r="C64" s="6" t="s">
        <v>35</v>
      </c>
      <c r="D64" s="10" t="s">
        <v>206</v>
      </c>
      <c r="E64" s="8"/>
      <c r="F64" s="16">
        <v>27</v>
      </c>
      <c r="G64" s="99"/>
      <c r="H64" s="100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7">
        <v>26</v>
      </c>
      <c r="B65" s="9" t="s">
        <v>69</v>
      </c>
      <c r="C65" s="6" t="s">
        <v>93</v>
      </c>
      <c r="D65" s="10" t="s">
        <v>198</v>
      </c>
      <c r="E65" s="8"/>
      <c r="F65" s="16">
        <v>27</v>
      </c>
      <c r="G65" s="99">
        <f t="shared" ref="G65" si="24">SUM(F65:F67)</f>
        <v>54</v>
      </c>
      <c r="H65" s="100" t="s">
        <v>152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/>
      <c r="B66" s="9" t="s">
        <v>32</v>
      </c>
      <c r="C66" s="6" t="s">
        <v>34</v>
      </c>
      <c r="D66" s="10" t="s">
        <v>207</v>
      </c>
      <c r="E66" s="8"/>
      <c r="F66" s="16">
        <v>2</v>
      </c>
      <c r="G66" s="99"/>
      <c r="H66" s="100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 t="s">
        <v>32</v>
      </c>
      <c r="C67" s="6" t="s">
        <v>35</v>
      </c>
      <c r="D67" s="10" t="s">
        <v>206</v>
      </c>
      <c r="E67" s="8"/>
      <c r="F67" s="16">
        <v>25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27</v>
      </c>
      <c r="B68" s="9" t="s">
        <v>69</v>
      </c>
      <c r="C68" s="6" t="s">
        <v>93</v>
      </c>
      <c r="D68" s="10" t="s">
        <v>198</v>
      </c>
      <c r="E68" s="8"/>
      <c r="F68" s="16">
        <v>27</v>
      </c>
      <c r="G68" s="99">
        <f t="shared" ref="G68" si="25">SUM(F68:F69)</f>
        <v>54</v>
      </c>
      <c r="H68" s="100" t="s">
        <v>153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 t="s">
        <v>32</v>
      </c>
      <c r="C69" s="6" t="s">
        <v>34</v>
      </c>
      <c r="D69" s="10" t="s">
        <v>207</v>
      </c>
      <c r="E69" s="8"/>
      <c r="F69" s="16">
        <v>27</v>
      </c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28</v>
      </c>
      <c r="B70" s="9" t="s">
        <v>69</v>
      </c>
      <c r="C70" s="6" t="s">
        <v>93</v>
      </c>
      <c r="D70" s="10" t="s">
        <v>198</v>
      </c>
      <c r="E70" s="8"/>
      <c r="F70" s="16">
        <v>27</v>
      </c>
      <c r="G70" s="99">
        <f t="shared" ref="G70" si="26">SUM(F70:F71)</f>
        <v>54</v>
      </c>
      <c r="H70" s="100" t="s">
        <v>154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 t="s">
        <v>32</v>
      </c>
      <c r="C71" s="6" t="s">
        <v>34</v>
      </c>
      <c r="D71" s="10" t="s">
        <v>207</v>
      </c>
      <c r="E71" s="8"/>
      <c r="F71" s="16">
        <v>27</v>
      </c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29</v>
      </c>
      <c r="B72" s="9" t="s">
        <v>69</v>
      </c>
      <c r="C72" s="6" t="s">
        <v>93</v>
      </c>
      <c r="D72" s="10" t="s">
        <v>198</v>
      </c>
      <c r="E72" s="8"/>
      <c r="F72" s="16">
        <v>14</v>
      </c>
      <c r="G72" s="99">
        <f t="shared" ref="G72" si="27">SUM(F72:F74)</f>
        <v>54</v>
      </c>
      <c r="H72" s="100" t="s">
        <v>155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7"/>
      <c r="B73" s="9" t="s">
        <v>69</v>
      </c>
      <c r="C73" s="6" t="s">
        <v>12</v>
      </c>
      <c r="D73" s="10" t="s">
        <v>198</v>
      </c>
      <c r="E73" s="8"/>
      <c r="F73" s="16">
        <v>13</v>
      </c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8"/>
      <c r="B74" s="9" t="s">
        <v>32</v>
      </c>
      <c r="C74" s="6" t="s">
        <v>34</v>
      </c>
      <c r="D74" s="10" t="s">
        <v>207</v>
      </c>
      <c r="E74" s="8"/>
      <c r="F74" s="16">
        <v>27</v>
      </c>
      <c r="G74" s="99"/>
      <c r="H74" s="10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7">
        <v>30</v>
      </c>
      <c r="B75" s="9" t="s">
        <v>69</v>
      </c>
      <c r="C75" s="6" t="s">
        <v>12</v>
      </c>
      <c r="D75" s="10" t="s">
        <v>198</v>
      </c>
      <c r="E75" s="8"/>
      <c r="F75" s="16">
        <v>27</v>
      </c>
      <c r="G75" s="99">
        <f t="shared" ref="G75" si="28">SUM(F75:F76)</f>
        <v>54</v>
      </c>
      <c r="H75" s="100" t="s">
        <v>156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8"/>
      <c r="B76" s="9" t="s">
        <v>32</v>
      </c>
      <c r="C76" s="6" t="s">
        <v>34</v>
      </c>
      <c r="D76" s="10" t="s">
        <v>207</v>
      </c>
      <c r="E76" s="8"/>
      <c r="F76" s="16">
        <v>27</v>
      </c>
      <c r="G76" s="99"/>
      <c r="H76" s="10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7">
        <v>31</v>
      </c>
      <c r="B77" s="9" t="s">
        <v>69</v>
      </c>
      <c r="C77" s="6" t="s">
        <v>12</v>
      </c>
      <c r="D77" s="10" t="s">
        <v>198</v>
      </c>
      <c r="E77" s="8"/>
      <c r="F77" s="16">
        <v>27</v>
      </c>
      <c r="G77" s="99">
        <f t="shared" ref="G77" si="29">SUM(F77:F78)</f>
        <v>54</v>
      </c>
      <c r="H77" s="100" t="s">
        <v>157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8"/>
      <c r="B78" s="9" t="s">
        <v>32</v>
      </c>
      <c r="C78" s="6" t="s">
        <v>34</v>
      </c>
      <c r="D78" s="10" t="s">
        <v>207</v>
      </c>
      <c r="E78" s="8"/>
      <c r="F78" s="16">
        <v>27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7">
        <v>32</v>
      </c>
      <c r="B79" s="9" t="s">
        <v>69</v>
      </c>
      <c r="C79" s="6" t="s">
        <v>94</v>
      </c>
      <c r="D79" s="10" t="s">
        <v>198</v>
      </c>
      <c r="E79" s="8"/>
      <c r="F79" s="16">
        <v>27</v>
      </c>
      <c r="G79" s="99">
        <f t="shared" ref="G79" si="30">SUM(F79:F80)</f>
        <v>54</v>
      </c>
      <c r="H79" s="100" t="s">
        <v>158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8"/>
      <c r="B80" s="9" t="s">
        <v>32</v>
      </c>
      <c r="C80" s="6" t="s">
        <v>11</v>
      </c>
      <c r="D80" s="10" t="s">
        <v>208</v>
      </c>
      <c r="E80" s="8"/>
      <c r="F80" s="16">
        <v>27</v>
      </c>
      <c r="G80" s="99"/>
      <c r="H80" s="100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7">
        <v>33</v>
      </c>
      <c r="B81" s="9" t="s">
        <v>69</v>
      </c>
      <c r="C81" s="6" t="s">
        <v>94</v>
      </c>
      <c r="D81" s="10" t="s">
        <v>198</v>
      </c>
      <c r="E81" s="8"/>
      <c r="F81" s="16">
        <v>27</v>
      </c>
      <c r="G81" s="99">
        <f t="shared" ref="G81" si="31">SUM(F81:F82)</f>
        <v>54</v>
      </c>
      <c r="H81" s="100" t="s">
        <v>159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8"/>
      <c r="B82" s="9" t="s">
        <v>32</v>
      </c>
      <c r="C82" s="6" t="s">
        <v>11</v>
      </c>
      <c r="D82" s="10" t="s">
        <v>208</v>
      </c>
      <c r="E82" s="8"/>
      <c r="F82" s="16">
        <v>27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7">
        <v>34</v>
      </c>
      <c r="B83" s="9" t="s">
        <v>69</v>
      </c>
      <c r="C83" s="6" t="s">
        <v>94</v>
      </c>
      <c r="D83" s="10" t="s">
        <v>198</v>
      </c>
      <c r="E83" s="8"/>
      <c r="F83" s="16">
        <v>15</v>
      </c>
      <c r="G83" s="99">
        <f t="shared" ref="G83" si="32">SUM(F83:F86)</f>
        <v>54</v>
      </c>
      <c r="H83" s="100" t="s">
        <v>160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/>
      <c r="B84" s="9" t="s">
        <v>69</v>
      </c>
      <c r="C84" s="6" t="s">
        <v>54</v>
      </c>
      <c r="D84" s="10" t="s">
        <v>209</v>
      </c>
      <c r="E84" s="8"/>
      <c r="F84" s="16">
        <v>20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7"/>
      <c r="B85" s="9" t="s">
        <v>69</v>
      </c>
      <c r="C85" s="6" t="s">
        <v>8</v>
      </c>
      <c r="D85" s="10" t="s">
        <v>199</v>
      </c>
      <c r="E85" s="8"/>
      <c r="F85" s="16">
        <v>12</v>
      </c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8"/>
      <c r="B86" s="9" t="s">
        <v>32</v>
      </c>
      <c r="C86" s="6" t="s">
        <v>11</v>
      </c>
      <c r="D86" s="10" t="s">
        <v>208</v>
      </c>
      <c r="E86" s="8"/>
      <c r="F86" s="16">
        <v>7</v>
      </c>
      <c r="G86" s="99"/>
      <c r="H86" s="10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7">
        <v>35</v>
      </c>
      <c r="B87" s="9" t="s">
        <v>69</v>
      </c>
      <c r="C87" s="6" t="s">
        <v>8</v>
      </c>
      <c r="D87" s="10" t="s">
        <v>199</v>
      </c>
      <c r="E87" s="8"/>
      <c r="F87" s="16">
        <v>27</v>
      </c>
      <c r="G87" s="99">
        <f t="shared" ref="G87" si="33">SUM(F87:F88)</f>
        <v>54</v>
      </c>
      <c r="H87" s="100" t="s">
        <v>161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8"/>
      <c r="B88" s="9" t="s">
        <v>69</v>
      </c>
      <c r="C88" s="6" t="s">
        <v>54</v>
      </c>
      <c r="D88" s="10" t="s">
        <v>209</v>
      </c>
      <c r="E88" s="8"/>
      <c r="F88" s="16">
        <v>27</v>
      </c>
      <c r="G88" s="99"/>
      <c r="H88" s="100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7">
        <v>36</v>
      </c>
      <c r="B89" s="9" t="s">
        <v>69</v>
      </c>
      <c r="C89" s="6" t="s">
        <v>8</v>
      </c>
      <c r="D89" s="10" t="s">
        <v>199</v>
      </c>
      <c r="E89" s="8"/>
      <c r="F89" s="16">
        <v>27</v>
      </c>
      <c r="G89" s="99">
        <f t="shared" ref="G89" si="34">SUM(F89:F90)</f>
        <v>54</v>
      </c>
      <c r="H89" s="100" t="s">
        <v>162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8"/>
      <c r="B90" s="9" t="s">
        <v>69</v>
      </c>
      <c r="C90" s="6" t="s">
        <v>54</v>
      </c>
      <c r="D90" s="10" t="s">
        <v>209</v>
      </c>
      <c r="E90" s="8"/>
      <c r="F90" s="16">
        <v>27</v>
      </c>
      <c r="G90" s="99"/>
      <c r="H90" s="100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7">
        <v>37</v>
      </c>
      <c r="B91" s="9" t="s">
        <v>69</v>
      </c>
      <c r="C91" s="6" t="s">
        <v>10</v>
      </c>
      <c r="D91" s="10" t="s">
        <v>200</v>
      </c>
      <c r="E91" s="8"/>
      <c r="F91" s="16">
        <v>27</v>
      </c>
      <c r="G91" s="99">
        <f t="shared" ref="G91:G116" si="35">SUM(F91:F92)</f>
        <v>54</v>
      </c>
      <c r="H91" s="100" t="s">
        <v>163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8"/>
      <c r="B92" s="9" t="s">
        <v>69</v>
      </c>
      <c r="C92" s="6" t="s">
        <v>54</v>
      </c>
      <c r="D92" s="10" t="s">
        <v>209</v>
      </c>
      <c r="E92" s="8"/>
      <c r="F92" s="16">
        <v>27</v>
      </c>
      <c r="G92" s="99"/>
      <c r="H92" s="10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7">
        <v>38</v>
      </c>
      <c r="B93" s="9" t="s">
        <v>69</v>
      </c>
      <c r="C93" s="6" t="s">
        <v>10</v>
      </c>
      <c r="D93" s="10" t="s">
        <v>200</v>
      </c>
      <c r="E93" s="8"/>
      <c r="F93" s="16">
        <v>5</v>
      </c>
      <c r="G93" s="99">
        <f>SUM(F93:F95)</f>
        <v>54</v>
      </c>
      <c r="H93" s="100" t="s">
        <v>164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/>
      <c r="B94" s="9" t="s">
        <v>69</v>
      </c>
      <c r="C94" s="6" t="s">
        <v>31</v>
      </c>
      <c r="D94" s="10" t="s">
        <v>201</v>
      </c>
      <c r="E94" s="8"/>
      <c r="F94" s="16">
        <v>22</v>
      </c>
      <c r="G94" s="99"/>
      <c r="H94" s="10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 t="s">
        <v>69</v>
      </c>
      <c r="C95" s="6" t="s">
        <v>54</v>
      </c>
      <c r="D95" s="10" t="s">
        <v>209</v>
      </c>
      <c r="E95" s="8"/>
      <c r="F95" s="16">
        <v>27</v>
      </c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39</v>
      </c>
      <c r="B96" s="9" t="s">
        <v>69</v>
      </c>
      <c r="C96" s="6" t="s">
        <v>31</v>
      </c>
      <c r="D96" s="10" t="s">
        <v>201</v>
      </c>
      <c r="E96" s="8"/>
      <c r="F96" s="16">
        <v>27</v>
      </c>
      <c r="G96" s="99">
        <f>SUM(F96:F98)</f>
        <v>54</v>
      </c>
      <c r="H96" s="100" t="s">
        <v>165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7"/>
      <c r="B97" s="9" t="s">
        <v>32</v>
      </c>
      <c r="C97" s="6" t="s">
        <v>54</v>
      </c>
      <c r="D97" s="10" t="s">
        <v>210</v>
      </c>
      <c r="E97" s="8"/>
      <c r="F97" s="16">
        <v>14</v>
      </c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8"/>
      <c r="B98" s="9" t="s">
        <v>69</v>
      </c>
      <c r="C98" s="6" t="s">
        <v>54</v>
      </c>
      <c r="D98" s="10" t="s">
        <v>209</v>
      </c>
      <c r="E98" s="8"/>
      <c r="F98" s="16">
        <v>13</v>
      </c>
      <c r="G98" s="99"/>
      <c r="H98" s="10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7">
        <v>40</v>
      </c>
      <c r="B99" s="9" t="s">
        <v>69</v>
      </c>
      <c r="C99" s="6" t="s">
        <v>31</v>
      </c>
      <c r="D99" s="10" t="s">
        <v>201</v>
      </c>
      <c r="E99" s="8"/>
      <c r="F99" s="16">
        <v>27</v>
      </c>
      <c r="G99" s="99">
        <f t="shared" ref="G99:G118" si="36">SUM(F99:F100)</f>
        <v>54</v>
      </c>
      <c r="H99" s="100" t="s">
        <v>166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8"/>
      <c r="B100" s="9" t="s">
        <v>32</v>
      </c>
      <c r="C100" s="6" t="s">
        <v>54</v>
      </c>
      <c r="D100" s="10" t="s">
        <v>210</v>
      </c>
      <c r="E100" s="8"/>
      <c r="F100" s="16">
        <v>27</v>
      </c>
      <c r="G100" s="99"/>
      <c r="H100" s="10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7">
        <v>41</v>
      </c>
      <c r="B101" s="9" t="s">
        <v>69</v>
      </c>
      <c r="C101" s="6" t="s">
        <v>31</v>
      </c>
      <c r="D101" s="10" t="s">
        <v>201</v>
      </c>
      <c r="E101" s="8"/>
      <c r="F101" s="16">
        <v>27</v>
      </c>
      <c r="G101" s="99">
        <f t="shared" si="35"/>
        <v>54</v>
      </c>
      <c r="H101" s="100" t="s">
        <v>167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8"/>
      <c r="B102" s="9" t="s">
        <v>32</v>
      </c>
      <c r="C102" s="6" t="s">
        <v>54</v>
      </c>
      <c r="D102" s="10" t="s">
        <v>210</v>
      </c>
      <c r="E102" s="8"/>
      <c r="F102" s="16">
        <v>27</v>
      </c>
      <c r="G102" s="99"/>
      <c r="H102" s="10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7">
        <v>42</v>
      </c>
      <c r="B103" s="9" t="s">
        <v>69</v>
      </c>
      <c r="C103" s="6" t="s">
        <v>31</v>
      </c>
      <c r="D103" s="10" t="s">
        <v>201</v>
      </c>
      <c r="E103" s="8"/>
      <c r="F103" s="16">
        <v>10</v>
      </c>
      <c r="G103" s="99">
        <f>SUM(F103:F105)</f>
        <v>54</v>
      </c>
      <c r="H103" s="100" t="s">
        <v>168</v>
      </c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/>
      <c r="B104" s="9" t="s">
        <v>69</v>
      </c>
      <c r="C104" s="6" t="s">
        <v>77</v>
      </c>
      <c r="D104" s="10" t="s">
        <v>202</v>
      </c>
      <c r="E104" s="8"/>
      <c r="F104" s="16">
        <v>17</v>
      </c>
      <c r="G104" s="99"/>
      <c r="H104" s="100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 t="s">
        <v>32</v>
      </c>
      <c r="C105" s="6" t="s">
        <v>54</v>
      </c>
      <c r="D105" s="10" t="s">
        <v>210</v>
      </c>
      <c r="E105" s="8"/>
      <c r="F105" s="16">
        <v>27</v>
      </c>
      <c r="G105" s="99"/>
      <c r="H105" s="10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43</v>
      </c>
      <c r="B106" s="9" t="s">
        <v>69</v>
      </c>
      <c r="C106" s="6" t="s">
        <v>77</v>
      </c>
      <c r="D106" s="10" t="s">
        <v>202</v>
      </c>
      <c r="E106" s="8"/>
      <c r="F106" s="16">
        <v>27</v>
      </c>
      <c r="G106" s="99">
        <f t="shared" si="35"/>
        <v>54</v>
      </c>
      <c r="H106" s="100" t="s">
        <v>169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 t="s">
        <v>32</v>
      </c>
      <c r="C107" s="6" t="s">
        <v>54</v>
      </c>
      <c r="D107" s="10" t="s">
        <v>210</v>
      </c>
      <c r="E107" s="8"/>
      <c r="F107" s="16">
        <v>27</v>
      </c>
      <c r="G107" s="99"/>
      <c r="H107" s="10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44</v>
      </c>
      <c r="B108" s="9" t="s">
        <v>69</v>
      </c>
      <c r="C108" s="6" t="s">
        <v>77</v>
      </c>
      <c r="D108" s="10" t="s">
        <v>202</v>
      </c>
      <c r="E108" s="8"/>
      <c r="F108" s="16">
        <v>27</v>
      </c>
      <c r="G108" s="99">
        <f>SUM(F108:F110)</f>
        <v>54</v>
      </c>
      <c r="H108" s="100" t="s">
        <v>170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7"/>
      <c r="B109" s="9" t="s">
        <v>32</v>
      </c>
      <c r="C109" s="6" t="s">
        <v>33</v>
      </c>
      <c r="D109" s="10" t="s">
        <v>211</v>
      </c>
      <c r="E109" s="8"/>
      <c r="F109" s="16">
        <v>19</v>
      </c>
      <c r="G109" s="99"/>
      <c r="H109" s="10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8"/>
      <c r="B110" s="9" t="s">
        <v>32</v>
      </c>
      <c r="C110" s="6" t="s">
        <v>54</v>
      </c>
      <c r="D110" s="10" t="s">
        <v>210</v>
      </c>
      <c r="E110" s="8"/>
      <c r="F110" s="16">
        <v>8</v>
      </c>
      <c r="G110" s="99"/>
      <c r="H110" s="100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7">
        <v>45</v>
      </c>
      <c r="B111" s="9" t="s">
        <v>69</v>
      </c>
      <c r="C111" s="6" t="s">
        <v>77</v>
      </c>
      <c r="D111" s="10" t="s">
        <v>202</v>
      </c>
      <c r="E111" s="8"/>
      <c r="F111" s="16">
        <v>27</v>
      </c>
      <c r="G111" s="99">
        <f t="shared" si="35"/>
        <v>54</v>
      </c>
      <c r="H111" s="100" t="s">
        <v>172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8"/>
      <c r="B112" s="9" t="s">
        <v>32</v>
      </c>
      <c r="C112" s="6" t="s">
        <v>33</v>
      </c>
      <c r="D112" s="10" t="s">
        <v>211</v>
      </c>
      <c r="E112" s="8"/>
      <c r="F112" s="16">
        <v>27</v>
      </c>
      <c r="G112" s="99"/>
      <c r="H112" s="100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7">
        <v>46</v>
      </c>
      <c r="B113" s="9" t="s">
        <v>69</v>
      </c>
      <c r="C113" s="6" t="s">
        <v>77</v>
      </c>
      <c r="D113" s="10" t="s">
        <v>202</v>
      </c>
      <c r="E113" s="8"/>
      <c r="F113" s="16">
        <v>27</v>
      </c>
      <c r="G113" s="99">
        <f>SUM(F113:F115)</f>
        <v>54</v>
      </c>
      <c r="H113" s="100" t="s">
        <v>195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/>
      <c r="B114" s="9" t="s">
        <v>32</v>
      </c>
      <c r="C114" s="6" t="s">
        <v>36</v>
      </c>
      <c r="D114" s="10" t="s">
        <v>212</v>
      </c>
      <c r="E114" s="8"/>
      <c r="F114" s="16">
        <v>6</v>
      </c>
      <c r="G114" s="99"/>
      <c r="H114" s="100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 t="s">
        <v>32</v>
      </c>
      <c r="C115" s="6" t="s">
        <v>33</v>
      </c>
      <c r="D115" s="10" t="s">
        <v>211</v>
      </c>
      <c r="E115" s="8"/>
      <c r="F115" s="16">
        <v>21</v>
      </c>
      <c r="G115" s="99"/>
      <c r="H115" s="10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47</v>
      </c>
      <c r="B116" s="9" t="s">
        <v>69</v>
      </c>
      <c r="C116" s="6" t="s">
        <v>77</v>
      </c>
      <c r="D116" s="10" t="s">
        <v>202</v>
      </c>
      <c r="E116" s="8"/>
      <c r="F116" s="16">
        <v>27</v>
      </c>
      <c r="G116" s="99">
        <f t="shared" si="35"/>
        <v>54</v>
      </c>
      <c r="H116" s="100" t="s">
        <v>196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8"/>
      <c r="B117" s="9" t="s">
        <v>32</v>
      </c>
      <c r="C117" s="6" t="s">
        <v>36</v>
      </c>
      <c r="D117" s="10" t="s">
        <v>212</v>
      </c>
      <c r="E117" s="8"/>
      <c r="F117" s="16">
        <v>27</v>
      </c>
      <c r="G117" s="99"/>
      <c r="H117" s="10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>
        <v>48</v>
      </c>
      <c r="B118" s="9" t="s">
        <v>69</v>
      </c>
      <c r="C118" s="6" t="s">
        <v>77</v>
      </c>
      <c r="D118" s="10" t="s">
        <v>202</v>
      </c>
      <c r="E118" s="8"/>
      <c r="F118" s="16">
        <v>27</v>
      </c>
      <c r="G118" s="99">
        <f t="shared" si="36"/>
        <v>54</v>
      </c>
      <c r="H118" s="100" t="s">
        <v>197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 t="s">
        <v>32</v>
      </c>
      <c r="C119" s="6" t="s">
        <v>36</v>
      </c>
      <c r="D119" s="10" t="s">
        <v>212</v>
      </c>
      <c r="E119" s="8"/>
      <c r="F119" s="16">
        <v>27</v>
      </c>
      <c r="G119" s="99"/>
      <c r="H119" s="100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>
        <v>49</v>
      </c>
      <c r="B120" s="9" t="s">
        <v>32</v>
      </c>
      <c r="C120" s="6" t="s">
        <v>36</v>
      </c>
      <c r="D120" s="10" t="s">
        <v>212</v>
      </c>
      <c r="E120" s="8"/>
      <c r="F120" s="16">
        <v>7</v>
      </c>
      <c r="G120" s="99">
        <f>SUM(F120:F125)</f>
        <v>15</v>
      </c>
      <c r="H120" s="100" t="s">
        <v>171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7"/>
      <c r="B121" s="9" t="s">
        <v>32</v>
      </c>
      <c r="C121" s="6" t="s">
        <v>120</v>
      </c>
      <c r="D121" s="10" t="s">
        <v>213</v>
      </c>
      <c r="E121" s="8"/>
      <c r="F121" s="16">
        <v>2</v>
      </c>
      <c r="G121" s="99"/>
      <c r="H121" s="100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/>
      <c r="B122" s="9" t="s">
        <v>84</v>
      </c>
      <c r="C122" s="6" t="s">
        <v>35</v>
      </c>
      <c r="D122" s="10" t="s">
        <v>214</v>
      </c>
      <c r="E122" s="8"/>
      <c r="F122" s="16">
        <v>2</v>
      </c>
      <c r="G122" s="99"/>
      <c r="H122" s="100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7"/>
      <c r="B123" s="9" t="s">
        <v>84</v>
      </c>
      <c r="C123" s="6" t="s">
        <v>54</v>
      </c>
      <c r="D123" s="10" t="s">
        <v>214</v>
      </c>
      <c r="E123" s="8"/>
      <c r="F123" s="16">
        <v>2</v>
      </c>
      <c r="G123" s="99"/>
      <c r="H123" s="100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/>
      <c r="B124" s="9" t="s">
        <v>32</v>
      </c>
      <c r="C124" s="6" t="s">
        <v>9</v>
      </c>
      <c r="D124" s="10" t="s">
        <v>215</v>
      </c>
      <c r="E124" s="8"/>
      <c r="F124" s="16">
        <v>2</v>
      </c>
      <c r="G124" s="99"/>
      <c r="H124" s="100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00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75" customHeight="1" x14ac:dyDescent="0.3">
      <c r="A126" s="101" t="s">
        <v>15</v>
      </c>
      <c r="B126" s="101"/>
      <c r="C126" s="101"/>
      <c r="D126" s="101"/>
      <c r="E126" s="101"/>
      <c r="F126" s="24"/>
      <c r="G126" s="17">
        <f>SUM(G8:G125)</f>
        <v>2607</v>
      </c>
      <c r="H126" s="18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">
      <c r="A127" s="102"/>
      <c r="B127" s="103"/>
      <c r="C127" s="103"/>
      <c r="D127" s="103"/>
      <c r="E127" s="103"/>
      <c r="F127" s="104"/>
      <c r="G127" s="104"/>
      <c r="H127" s="10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">
      <c r="A128" s="106" t="s">
        <v>16</v>
      </c>
      <c r="B128" s="107"/>
      <c r="C128" s="107"/>
      <c r="D128" s="107"/>
      <c r="E128" s="107"/>
      <c r="F128" s="107"/>
      <c r="G128" s="107"/>
      <c r="H128" s="108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">
      <c r="A129" s="106" t="s">
        <v>70</v>
      </c>
      <c r="B129" s="107"/>
      <c r="C129" s="107"/>
      <c r="D129" s="107"/>
      <c r="E129" s="107"/>
      <c r="F129" s="107"/>
      <c r="G129" s="107"/>
      <c r="H129" s="108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">
      <c r="A130" s="109"/>
      <c r="B130" s="110"/>
      <c r="C130" s="110"/>
      <c r="D130" s="110"/>
      <c r="E130" s="110"/>
      <c r="F130" s="110"/>
      <c r="G130" s="110"/>
      <c r="H130" s="111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">
      <c r="A131" s="22"/>
      <c r="B131" s="25"/>
      <c r="C131" s="25"/>
      <c r="D131" s="25"/>
      <c r="E131" s="25"/>
      <c r="F131" s="25"/>
      <c r="G131" s="25"/>
      <c r="H131" s="23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">
      <c r="A132" s="83" t="s">
        <v>17</v>
      </c>
      <c r="B132" s="84"/>
      <c r="C132" s="84"/>
      <c r="D132" s="84"/>
      <c r="E132" s="84"/>
      <c r="F132" s="84"/>
      <c r="G132" s="84"/>
      <c r="H132" s="8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86"/>
      <c r="B133" s="87"/>
      <c r="C133" s="87"/>
      <c r="D133" s="87"/>
      <c r="E133" s="87"/>
      <c r="F133" s="87"/>
      <c r="G133" s="87"/>
      <c r="H133" s="88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2"/>
      <c r="B134" s="12"/>
      <c r="C134" s="12"/>
      <c r="D134" s="12"/>
      <c r="E134" s="12"/>
      <c r="F134" s="12"/>
      <c r="G134" s="12"/>
      <c r="H134" s="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2"/>
      <c r="B135" s="12"/>
      <c r="C135" s="12"/>
      <c r="D135" s="12"/>
      <c r="E135" s="12"/>
      <c r="F135" s="12"/>
      <c r="G135" s="12"/>
      <c r="H135" s="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2"/>
      <c r="B136" s="12"/>
      <c r="C136" s="12"/>
      <c r="D136" s="12"/>
      <c r="E136" s="12"/>
      <c r="F136" s="12"/>
      <c r="G136" s="12"/>
      <c r="H136" s="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2"/>
      <c r="B137" s="12"/>
      <c r="C137" s="12"/>
      <c r="D137" s="12"/>
      <c r="E137" s="12"/>
      <c r="F137" s="12"/>
      <c r="G137" s="12"/>
      <c r="H137" s="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2"/>
      <c r="B138" s="12"/>
      <c r="C138" s="12"/>
      <c r="D138" s="12"/>
      <c r="E138" s="12"/>
      <c r="F138" s="12"/>
      <c r="G138" s="12"/>
      <c r="H138" s="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12"/>
      <c r="B139" s="12"/>
      <c r="C139" s="12"/>
      <c r="D139" s="12"/>
      <c r="E139" s="12"/>
      <c r="F139" s="12"/>
      <c r="G139" s="12"/>
      <c r="H139" s="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</sheetData>
  <autoFilter ref="A7:Y126" xr:uid="{00000000-0009-0000-0000-000004000000}"/>
  <mergeCells count="158">
    <mergeCell ref="A11:A12"/>
    <mergeCell ref="G11:G12"/>
    <mergeCell ref="H11:H12"/>
    <mergeCell ref="A13:A15"/>
    <mergeCell ref="G13:G15"/>
    <mergeCell ref="H13:H15"/>
    <mergeCell ref="A1:H1"/>
    <mergeCell ref="A2:H2"/>
    <mergeCell ref="A3:H3"/>
    <mergeCell ref="A4:H4"/>
    <mergeCell ref="A5:H5"/>
    <mergeCell ref="A8:A10"/>
    <mergeCell ref="G8:G10"/>
    <mergeCell ref="H8:H10"/>
    <mergeCell ref="A20:A22"/>
    <mergeCell ref="G20:G22"/>
    <mergeCell ref="H20:H22"/>
    <mergeCell ref="A23:A24"/>
    <mergeCell ref="G23:G24"/>
    <mergeCell ref="H23:H24"/>
    <mergeCell ref="A16:A17"/>
    <mergeCell ref="G16:G17"/>
    <mergeCell ref="H16:H17"/>
    <mergeCell ref="A18:A19"/>
    <mergeCell ref="G18:G19"/>
    <mergeCell ref="H18:H19"/>
    <mergeCell ref="A30:A31"/>
    <mergeCell ref="G30:G31"/>
    <mergeCell ref="H30:H31"/>
    <mergeCell ref="A32:A33"/>
    <mergeCell ref="G32:G33"/>
    <mergeCell ref="H32:H33"/>
    <mergeCell ref="A25:A27"/>
    <mergeCell ref="G25:G27"/>
    <mergeCell ref="H25:H27"/>
    <mergeCell ref="A28:A29"/>
    <mergeCell ref="G28:G29"/>
    <mergeCell ref="H28:H29"/>
    <mergeCell ref="A38:A39"/>
    <mergeCell ref="G38:G39"/>
    <mergeCell ref="H38:H39"/>
    <mergeCell ref="A40:A41"/>
    <mergeCell ref="G40:G41"/>
    <mergeCell ref="H40:H41"/>
    <mergeCell ref="A34:A35"/>
    <mergeCell ref="G34:G35"/>
    <mergeCell ref="H34:H35"/>
    <mergeCell ref="A36:A37"/>
    <mergeCell ref="G36:G37"/>
    <mergeCell ref="H36:H37"/>
    <mergeCell ref="A47:A48"/>
    <mergeCell ref="G47:G48"/>
    <mergeCell ref="H47:H48"/>
    <mergeCell ref="A49:A50"/>
    <mergeCell ref="G49:G50"/>
    <mergeCell ref="H49:H50"/>
    <mergeCell ref="A42:A44"/>
    <mergeCell ref="G42:G44"/>
    <mergeCell ref="H42:H44"/>
    <mergeCell ref="A45:A46"/>
    <mergeCell ref="G45:G46"/>
    <mergeCell ref="H45:H46"/>
    <mergeCell ref="A57:A58"/>
    <mergeCell ref="G57:G58"/>
    <mergeCell ref="H57:H58"/>
    <mergeCell ref="A59:A60"/>
    <mergeCell ref="G59:G60"/>
    <mergeCell ref="H59:H60"/>
    <mergeCell ref="A51:A52"/>
    <mergeCell ref="G51:G52"/>
    <mergeCell ref="H51:H52"/>
    <mergeCell ref="A53:A56"/>
    <mergeCell ref="G53:G56"/>
    <mergeCell ref="H53:H56"/>
    <mergeCell ref="A65:A67"/>
    <mergeCell ref="G65:G67"/>
    <mergeCell ref="H65:H67"/>
    <mergeCell ref="A68:A69"/>
    <mergeCell ref="G68:G69"/>
    <mergeCell ref="H68:H69"/>
    <mergeCell ref="A61:A62"/>
    <mergeCell ref="G61:G62"/>
    <mergeCell ref="H61:H62"/>
    <mergeCell ref="A63:A64"/>
    <mergeCell ref="G63:G64"/>
    <mergeCell ref="H63:H64"/>
    <mergeCell ref="A75:A76"/>
    <mergeCell ref="G75:G76"/>
    <mergeCell ref="H75:H76"/>
    <mergeCell ref="A77:A78"/>
    <mergeCell ref="G77:G78"/>
    <mergeCell ref="H77:H78"/>
    <mergeCell ref="A70:A71"/>
    <mergeCell ref="G70:G71"/>
    <mergeCell ref="H70:H71"/>
    <mergeCell ref="A72:A74"/>
    <mergeCell ref="G72:G74"/>
    <mergeCell ref="H72:H74"/>
    <mergeCell ref="A83:A86"/>
    <mergeCell ref="G83:G86"/>
    <mergeCell ref="H83:H86"/>
    <mergeCell ref="A87:A88"/>
    <mergeCell ref="G87:G88"/>
    <mergeCell ref="H87:H88"/>
    <mergeCell ref="A79:A80"/>
    <mergeCell ref="G79:G80"/>
    <mergeCell ref="H79:H80"/>
    <mergeCell ref="A81:A82"/>
    <mergeCell ref="G81:G82"/>
    <mergeCell ref="H81:H82"/>
    <mergeCell ref="A93:A95"/>
    <mergeCell ref="G93:G95"/>
    <mergeCell ref="H93:H95"/>
    <mergeCell ref="A96:A98"/>
    <mergeCell ref="G96:G98"/>
    <mergeCell ref="H96:H98"/>
    <mergeCell ref="A89:A90"/>
    <mergeCell ref="G89:G90"/>
    <mergeCell ref="H89:H90"/>
    <mergeCell ref="A91:A92"/>
    <mergeCell ref="G91:G92"/>
    <mergeCell ref="H91:H92"/>
    <mergeCell ref="A103:A105"/>
    <mergeCell ref="G103:G105"/>
    <mergeCell ref="H103:H105"/>
    <mergeCell ref="A106:A107"/>
    <mergeCell ref="G106:G107"/>
    <mergeCell ref="H106:H107"/>
    <mergeCell ref="A99:A100"/>
    <mergeCell ref="G99:G100"/>
    <mergeCell ref="H99:H100"/>
    <mergeCell ref="A101:A102"/>
    <mergeCell ref="G101:G102"/>
    <mergeCell ref="H101:H102"/>
    <mergeCell ref="A113:A115"/>
    <mergeCell ref="G113:G115"/>
    <mergeCell ref="H113:H115"/>
    <mergeCell ref="A116:A117"/>
    <mergeCell ref="G116:G117"/>
    <mergeCell ref="H116:H117"/>
    <mergeCell ref="A108:A110"/>
    <mergeCell ref="G108:G110"/>
    <mergeCell ref="H108:H110"/>
    <mergeCell ref="A111:A112"/>
    <mergeCell ref="G111:G112"/>
    <mergeCell ref="H111:H112"/>
    <mergeCell ref="A118:A119"/>
    <mergeCell ref="G118:G119"/>
    <mergeCell ref="H118:H119"/>
    <mergeCell ref="A129:H129"/>
    <mergeCell ref="A130:H130"/>
    <mergeCell ref="A132:H133"/>
    <mergeCell ref="A120:A125"/>
    <mergeCell ref="G120:G125"/>
    <mergeCell ref="H120:H125"/>
    <mergeCell ref="A126:E126"/>
    <mergeCell ref="A127:H127"/>
    <mergeCell ref="A128:H128"/>
  </mergeCells>
  <phoneticPr fontId="14" type="noConversion"/>
  <pageMargins left="0.7" right="0.7" top="0.75" bottom="0.75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  <outlinePr summaryBelow="0" summaryRight="0"/>
  </sheetPr>
  <dimension ref="A1:Y675"/>
  <sheetViews>
    <sheetView zoomScale="85" zoomScaleNormal="85" workbookViewId="0">
      <pane ySplit="7" topLeftCell="A8" activePane="bottomLeft" state="frozen"/>
      <selection pane="bottomLeft" activeCell="J91" sqref="J91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61</v>
      </c>
      <c r="K2" s="12">
        <v>2328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126</v>
      </c>
      <c r="B4" s="115"/>
      <c r="C4" s="116"/>
      <c r="D4" s="116"/>
      <c r="E4" s="116"/>
      <c r="F4" s="116"/>
      <c r="G4" s="116"/>
      <c r="H4" s="116"/>
      <c r="I4" s="12"/>
      <c r="J4" s="12">
        <f>J2/J3</f>
        <v>2.2592592592592591</v>
      </c>
      <c r="K4" s="12">
        <f>K2/K3</f>
        <v>43.111111111111114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32</v>
      </c>
      <c r="C8" s="6" t="s">
        <v>44</v>
      </c>
      <c r="D8" s="10" t="s">
        <v>216</v>
      </c>
      <c r="E8" s="8"/>
      <c r="F8" s="16">
        <v>27</v>
      </c>
      <c r="G8" s="99">
        <f>SUM(F8:F9)</f>
        <v>54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 t="s">
        <v>69</v>
      </c>
      <c r="C9" s="6" t="s">
        <v>77</v>
      </c>
      <c r="D9" s="10" t="s">
        <v>221</v>
      </c>
      <c r="E9" s="8"/>
      <c r="F9" s="16">
        <v>27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32</v>
      </c>
      <c r="C10" s="6" t="s">
        <v>44</v>
      </c>
      <c r="D10" s="10" t="s">
        <v>216</v>
      </c>
      <c r="E10" s="8"/>
      <c r="F10" s="16">
        <v>27</v>
      </c>
      <c r="G10" s="99">
        <f t="shared" ref="G10" si="0">SUM(F10:F11)</f>
        <v>54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 t="s">
        <v>69</v>
      </c>
      <c r="C11" s="6" t="s">
        <v>77</v>
      </c>
      <c r="D11" s="10" t="s">
        <v>221</v>
      </c>
      <c r="E11" s="8"/>
      <c r="F11" s="16">
        <v>27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 t="s">
        <v>32</v>
      </c>
      <c r="C12" s="6" t="s">
        <v>44</v>
      </c>
      <c r="D12" s="10" t="s">
        <v>216</v>
      </c>
      <c r="E12" s="8"/>
      <c r="F12" s="16">
        <v>27</v>
      </c>
      <c r="G12" s="99">
        <f t="shared" ref="G12" si="1">SUM(F12:F14)</f>
        <v>54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7"/>
      <c r="B13" s="9" t="s">
        <v>32</v>
      </c>
      <c r="C13" s="6" t="s">
        <v>26</v>
      </c>
      <c r="D13" s="10" t="s">
        <v>222</v>
      </c>
      <c r="E13" s="8"/>
      <c r="F13" s="16">
        <v>12</v>
      </c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8"/>
      <c r="B14" s="9" t="s">
        <v>69</v>
      </c>
      <c r="C14" s="6" t="s">
        <v>77</v>
      </c>
      <c r="D14" s="10" t="s">
        <v>221</v>
      </c>
      <c r="E14" s="8"/>
      <c r="F14" s="16">
        <v>15</v>
      </c>
      <c r="G14" s="99"/>
      <c r="H14" s="10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7">
        <v>4</v>
      </c>
      <c r="B15" s="9" t="s">
        <v>32</v>
      </c>
      <c r="C15" s="6" t="s">
        <v>44</v>
      </c>
      <c r="D15" s="10" t="s">
        <v>216</v>
      </c>
      <c r="E15" s="8"/>
      <c r="F15" s="16">
        <v>27</v>
      </c>
      <c r="G15" s="99">
        <f t="shared" ref="G15" si="2">SUM(F15:F16)</f>
        <v>54</v>
      </c>
      <c r="H15" s="100" t="s">
        <v>130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8"/>
      <c r="B16" s="9" t="s">
        <v>32</v>
      </c>
      <c r="C16" s="6" t="s">
        <v>26</v>
      </c>
      <c r="D16" s="10" t="s">
        <v>222</v>
      </c>
      <c r="E16" s="8"/>
      <c r="F16" s="16">
        <v>27</v>
      </c>
      <c r="G16" s="99"/>
      <c r="H16" s="10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7">
        <v>5</v>
      </c>
      <c r="B17" s="9" t="s">
        <v>32</v>
      </c>
      <c r="C17" s="6" t="s">
        <v>44</v>
      </c>
      <c r="D17" s="10" t="s">
        <v>216</v>
      </c>
      <c r="E17" s="8"/>
      <c r="F17" s="16">
        <v>27</v>
      </c>
      <c r="G17" s="99">
        <f t="shared" ref="G17" si="3">SUM(F17:F18)</f>
        <v>54</v>
      </c>
      <c r="H17" s="100" t="s">
        <v>131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8"/>
      <c r="B18" s="9" t="s">
        <v>32</v>
      </c>
      <c r="C18" s="6" t="s">
        <v>26</v>
      </c>
      <c r="D18" s="10" t="s">
        <v>222</v>
      </c>
      <c r="E18" s="8"/>
      <c r="F18" s="16">
        <v>27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7">
        <v>6</v>
      </c>
      <c r="B19" s="9" t="s">
        <v>32</v>
      </c>
      <c r="C19" s="6" t="s">
        <v>44</v>
      </c>
      <c r="D19" s="10" t="s">
        <v>216</v>
      </c>
      <c r="E19" s="8"/>
      <c r="F19" s="16">
        <v>27</v>
      </c>
      <c r="G19" s="99">
        <f t="shared" ref="G19" si="4">SUM(F19:F20)</f>
        <v>54</v>
      </c>
      <c r="H19" s="100" t="s">
        <v>132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8"/>
      <c r="B20" s="9" t="s">
        <v>32</v>
      </c>
      <c r="C20" s="6" t="s">
        <v>26</v>
      </c>
      <c r="D20" s="10" t="s">
        <v>222</v>
      </c>
      <c r="E20" s="8"/>
      <c r="F20" s="16">
        <v>27</v>
      </c>
      <c r="G20" s="99"/>
      <c r="H20" s="100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7">
        <v>7</v>
      </c>
      <c r="B21" s="9" t="s">
        <v>32</v>
      </c>
      <c r="C21" s="6" t="s">
        <v>44</v>
      </c>
      <c r="D21" s="10" t="s">
        <v>216</v>
      </c>
      <c r="E21" s="8"/>
      <c r="F21" s="16">
        <v>27</v>
      </c>
      <c r="G21" s="99">
        <f t="shared" ref="G21" si="5">SUM(F21:F22)</f>
        <v>54</v>
      </c>
      <c r="H21" s="100" t="s">
        <v>133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8"/>
      <c r="B22" s="9" t="s">
        <v>32</v>
      </c>
      <c r="C22" s="6" t="s">
        <v>26</v>
      </c>
      <c r="D22" s="10" t="s">
        <v>222</v>
      </c>
      <c r="E22" s="8"/>
      <c r="F22" s="16">
        <v>27</v>
      </c>
      <c r="G22" s="99"/>
      <c r="H22" s="100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7">
        <v>8</v>
      </c>
      <c r="B23" s="9" t="s">
        <v>32</v>
      </c>
      <c r="C23" s="6" t="s">
        <v>44</v>
      </c>
      <c r="D23" s="10" t="s">
        <v>216</v>
      </c>
      <c r="E23" s="8"/>
      <c r="F23" s="16">
        <v>27</v>
      </c>
      <c r="G23" s="99">
        <f>SUM(F23:F25)</f>
        <v>54</v>
      </c>
      <c r="H23" s="100" t="s">
        <v>134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/>
      <c r="B24" s="9" t="s">
        <v>32</v>
      </c>
      <c r="C24" s="6" t="s">
        <v>26</v>
      </c>
      <c r="D24" s="10" t="s">
        <v>222</v>
      </c>
      <c r="E24" s="8"/>
      <c r="F24" s="16">
        <v>6</v>
      </c>
      <c r="G24" s="99"/>
      <c r="H24" s="100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7"/>
      <c r="B25" s="9" t="s">
        <v>32</v>
      </c>
      <c r="C25" s="6" t="s">
        <v>12</v>
      </c>
      <c r="D25" s="10" t="s">
        <v>223</v>
      </c>
      <c r="E25" s="8"/>
      <c r="F25" s="16">
        <v>21</v>
      </c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9</v>
      </c>
      <c r="B26" s="9" t="s">
        <v>32</v>
      </c>
      <c r="C26" s="6" t="s">
        <v>44</v>
      </c>
      <c r="D26" s="10" t="s">
        <v>216</v>
      </c>
      <c r="E26" s="8"/>
      <c r="F26" s="16">
        <v>27</v>
      </c>
      <c r="G26" s="99">
        <f t="shared" ref="G26" si="6">SUM(F26:F27)</f>
        <v>54</v>
      </c>
      <c r="H26" s="100" t="s">
        <v>135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 t="s">
        <v>32</v>
      </c>
      <c r="C27" s="6" t="s">
        <v>12</v>
      </c>
      <c r="D27" s="10" t="s">
        <v>223</v>
      </c>
      <c r="E27" s="8"/>
      <c r="F27" s="16">
        <v>27</v>
      </c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10</v>
      </c>
      <c r="B28" s="9" t="s">
        <v>32</v>
      </c>
      <c r="C28" s="6" t="s">
        <v>44</v>
      </c>
      <c r="D28" s="10" t="s">
        <v>216</v>
      </c>
      <c r="E28" s="8"/>
      <c r="F28" s="16">
        <v>27</v>
      </c>
      <c r="G28" s="99">
        <f t="shared" ref="G28" si="7">SUM(F28:F30)</f>
        <v>54</v>
      </c>
      <c r="H28" s="100" t="s">
        <v>136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7"/>
      <c r="B29" s="9" t="s">
        <v>69</v>
      </c>
      <c r="C29" s="6" t="s">
        <v>9</v>
      </c>
      <c r="D29" s="10" t="s">
        <v>224</v>
      </c>
      <c r="E29" s="8"/>
      <c r="F29" s="16">
        <v>11</v>
      </c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8"/>
      <c r="B30" s="9" t="s">
        <v>32</v>
      </c>
      <c r="C30" s="6" t="s">
        <v>12</v>
      </c>
      <c r="D30" s="10" t="s">
        <v>223</v>
      </c>
      <c r="E30" s="8"/>
      <c r="F30" s="16">
        <v>16</v>
      </c>
      <c r="G30" s="99"/>
      <c r="H30" s="10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7">
        <v>11</v>
      </c>
      <c r="B31" s="9" t="s">
        <v>32</v>
      </c>
      <c r="C31" s="6" t="s">
        <v>44</v>
      </c>
      <c r="D31" s="10" t="s">
        <v>216</v>
      </c>
      <c r="E31" s="8"/>
      <c r="F31" s="16">
        <v>27</v>
      </c>
      <c r="G31" s="99">
        <f t="shared" ref="G31" si="8">SUM(F31:F32)</f>
        <v>54</v>
      </c>
      <c r="H31" s="100" t="s">
        <v>137</v>
      </c>
      <c r="I31" s="13"/>
      <c r="J31" s="13"/>
      <c r="K31" s="13"/>
      <c r="L31" s="13"/>
      <c r="M31" s="13"/>
      <c r="N31" s="13"/>
      <c r="O31" s="13">
        <v>2279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8"/>
      <c r="B32" s="9" t="s">
        <v>69</v>
      </c>
      <c r="C32" s="6" t="s">
        <v>9</v>
      </c>
      <c r="D32" s="10" t="s">
        <v>224</v>
      </c>
      <c r="E32" s="8"/>
      <c r="F32" s="16">
        <v>27</v>
      </c>
      <c r="G32" s="99"/>
      <c r="H32" s="100"/>
      <c r="I32" s="13"/>
      <c r="J32" s="13"/>
      <c r="K32" s="13"/>
      <c r="L32" s="13"/>
      <c r="M32" s="13"/>
      <c r="N32" s="13"/>
      <c r="O32" s="13">
        <v>2328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7">
        <v>12</v>
      </c>
      <c r="B33" s="9" t="s">
        <v>32</v>
      </c>
      <c r="C33" s="6" t="s">
        <v>44</v>
      </c>
      <c r="D33" s="10" t="s">
        <v>216</v>
      </c>
      <c r="E33" s="8"/>
      <c r="F33" s="16">
        <v>27</v>
      </c>
      <c r="G33" s="99">
        <f t="shared" ref="G33" si="9">SUM(F33:F35)</f>
        <v>54</v>
      </c>
      <c r="H33" s="100" t="s">
        <v>138</v>
      </c>
      <c r="I33" s="13"/>
      <c r="J33" s="13"/>
      <c r="K33" s="13"/>
      <c r="L33" s="13"/>
      <c r="M33" s="13"/>
      <c r="N33" s="13"/>
      <c r="O33" s="13">
        <f>O32-O31</f>
        <v>49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/>
      <c r="B34" s="9" t="s">
        <v>69</v>
      </c>
      <c r="C34" s="6" t="s">
        <v>13</v>
      </c>
      <c r="D34" s="10" t="s">
        <v>225</v>
      </c>
      <c r="E34" s="8"/>
      <c r="F34" s="16">
        <v>19</v>
      </c>
      <c r="G34" s="99"/>
      <c r="H34" s="100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 t="s">
        <v>69</v>
      </c>
      <c r="C35" s="6" t="s">
        <v>9</v>
      </c>
      <c r="D35" s="10" t="s">
        <v>224</v>
      </c>
      <c r="E35" s="8"/>
      <c r="F35" s="16">
        <v>8</v>
      </c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13</v>
      </c>
      <c r="B36" s="9" t="s">
        <v>32</v>
      </c>
      <c r="C36" s="6" t="s">
        <v>44</v>
      </c>
      <c r="D36" s="10" t="s">
        <v>216</v>
      </c>
      <c r="E36" s="8"/>
      <c r="F36" s="16">
        <v>27</v>
      </c>
      <c r="G36" s="99">
        <f t="shared" ref="G36" si="10">SUM(F36:F37)</f>
        <v>54</v>
      </c>
      <c r="H36" s="100" t="s">
        <v>139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 t="s">
        <v>69</v>
      </c>
      <c r="C37" s="6" t="s">
        <v>13</v>
      </c>
      <c r="D37" s="10" t="s">
        <v>225</v>
      </c>
      <c r="E37" s="8"/>
      <c r="F37" s="16">
        <v>27</v>
      </c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14</v>
      </c>
      <c r="B38" s="9" t="s">
        <v>32</v>
      </c>
      <c r="C38" s="6" t="s">
        <v>44</v>
      </c>
      <c r="D38" s="10" t="s">
        <v>216</v>
      </c>
      <c r="E38" s="8"/>
      <c r="F38" s="16">
        <v>27</v>
      </c>
      <c r="G38" s="99">
        <f t="shared" ref="G38" si="11">SUM(F38:F40)</f>
        <v>54</v>
      </c>
      <c r="H38" s="100" t="s">
        <v>140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7"/>
      <c r="B39" s="9" t="s">
        <v>32</v>
      </c>
      <c r="C39" s="6" t="s">
        <v>95</v>
      </c>
      <c r="D39" s="10" t="s">
        <v>226</v>
      </c>
      <c r="E39" s="8"/>
      <c r="F39" s="16">
        <v>21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8"/>
      <c r="B40" s="9" t="s">
        <v>69</v>
      </c>
      <c r="C40" s="6" t="s">
        <v>13</v>
      </c>
      <c r="D40" s="10" t="s">
        <v>225</v>
      </c>
      <c r="E40" s="8"/>
      <c r="F40" s="16">
        <v>6</v>
      </c>
      <c r="G40" s="99"/>
      <c r="H40" s="10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7">
        <v>15</v>
      </c>
      <c r="B41" s="9" t="s">
        <v>32</v>
      </c>
      <c r="C41" s="6" t="s">
        <v>44</v>
      </c>
      <c r="D41" s="10" t="s">
        <v>216</v>
      </c>
      <c r="E41" s="8"/>
      <c r="F41" s="16">
        <v>27</v>
      </c>
      <c r="G41" s="99">
        <f t="shared" ref="G41" si="12">SUM(F41:F42)</f>
        <v>54</v>
      </c>
      <c r="H41" s="100" t="s">
        <v>141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8"/>
      <c r="B42" s="9" t="s">
        <v>32</v>
      </c>
      <c r="C42" s="6" t="s">
        <v>95</v>
      </c>
      <c r="D42" s="10" t="s">
        <v>226</v>
      </c>
      <c r="E42" s="8"/>
      <c r="F42" s="16">
        <v>27</v>
      </c>
      <c r="G42" s="99"/>
      <c r="H42" s="100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7">
        <v>16</v>
      </c>
      <c r="B43" s="9" t="s">
        <v>32</v>
      </c>
      <c r="C43" s="6" t="s">
        <v>44</v>
      </c>
      <c r="D43" s="10" t="s">
        <v>216</v>
      </c>
      <c r="E43" s="8"/>
      <c r="F43" s="16">
        <v>13</v>
      </c>
      <c r="G43" s="99">
        <f t="shared" ref="G43" si="13">SUM(F43:F46)</f>
        <v>54</v>
      </c>
      <c r="H43" s="100" t="s">
        <v>142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/>
      <c r="B44" s="9" t="s">
        <v>32</v>
      </c>
      <c r="C44" s="6" t="s">
        <v>93</v>
      </c>
      <c r="D44" s="10" t="s">
        <v>217</v>
      </c>
      <c r="E44" s="8"/>
      <c r="F44" s="16">
        <v>14</v>
      </c>
      <c r="G44" s="99"/>
      <c r="H44" s="100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7"/>
      <c r="B45" s="9" t="s">
        <v>32</v>
      </c>
      <c r="C45" s="6" t="s">
        <v>38</v>
      </c>
      <c r="D45" s="6" t="s">
        <v>227</v>
      </c>
      <c r="E45" s="8"/>
      <c r="F45" s="16">
        <v>9</v>
      </c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8"/>
      <c r="B46" s="9" t="s">
        <v>32</v>
      </c>
      <c r="C46" s="6" t="s">
        <v>95</v>
      </c>
      <c r="D46" s="10" t="s">
        <v>226</v>
      </c>
      <c r="E46" s="8"/>
      <c r="F46" s="16">
        <v>18</v>
      </c>
      <c r="G46" s="99"/>
      <c r="H46" s="100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17</v>
      </c>
      <c r="B47" s="9" t="s">
        <v>32</v>
      </c>
      <c r="C47" s="6" t="s">
        <v>93</v>
      </c>
      <c r="D47" s="10" t="s">
        <v>217</v>
      </c>
      <c r="E47" s="8"/>
      <c r="F47" s="16">
        <v>27</v>
      </c>
      <c r="G47" s="99">
        <f t="shared" ref="G47" si="14">SUM(F47:F48)</f>
        <v>54</v>
      </c>
      <c r="H47" s="100" t="s">
        <v>143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8"/>
      <c r="B48" s="9" t="s">
        <v>32</v>
      </c>
      <c r="C48" s="6" t="s">
        <v>38</v>
      </c>
      <c r="D48" s="6" t="s">
        <v>227</v>
      </c>
      <c r="E48" s="8"/>
      <c r="F48" s="16">
        <v>27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18</v>
      </c>
      <c r="B49" s="9" t="s">
        <v>32</v>
      </c>
      <c r="C49" s="6" t="s">
        <v>93</v>
      </c>
      <c r="D49" s="10" t="s">
        <v>217</v>
      </c>
      <c r="E49" s="8"/>
      <c r="F49" s="16">
        <v>27</v>
      </c>
      <c r="G49" s="99">
        <f t="shared" ref="G49" si="15">SUM(F49:F50)</f>
        <v>54</v>
      </c>
      <c r="H49" s="100" t="s">
        <v>144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8"/>
      <c r="B50" s="9" t="s">
        <v>32</v>
      </c>
      <c r="C50" s="6" t="s">
        <v>38</v>
      </c>
      <c r="D50" s="6" t="s">
        <v>227</v>
      </c>
      <c r="E50" s="8"/>
      <c r="F50" s="16">
        <v>27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7">
        <v>19</v>
      </c>
      <c r="B51" s="9" t="s">
        <v>32</v>
      </c>
      <c r="C51" s="6" t="s">
        <v>93</v>
      </c>
      <c r="D51" s="10" t="s">
        <v>217</v>
      </c>
      <c r="E51" s="8"/>
      <c r="F51" s="16">
        <v>27</v>
      </c>
      <c r="G51" s="99">
        <f t="shared" ref="G51" si="16">SUM(F51:F52)</f>
        <v>54</v>
      </c>
      <c r="H51" s="100" t="s">
        <v>145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8"/>
      <c r="B52" s="9" t="s">
        <v>32</v>
      </c>
      <c r="C52" s="6" t="s">
        <v>38</v>
      </c>
      <c r="D52" s="6" t="s">
        <v>227</v>
      </c>
      <c r="E52" s="8"/>
      <c r="F52" s="16">
        <v>27</v>
      </c>
      <c r="G52" s="99"/>
      <c r="H52" s="100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7">
        <v>20</v>
      </c>
      <c r="B53" s="9" t="s">
        <v>32</v>
      </c>
      <c r="C53" s="6" t="s">
        <v>93</v>
      </c>
      <c r="D53" s="10" t="s">
        <v>217</v>
      </c>
      <c r="E53" s="8"/>
      <c r="F53" s="16">
        <v>27</v>
      </c>
      <c r="G53" s="99">
        <f t="shared" ref="G53" si="17">SUM(F53:F54)</f>
        <v>54</v>
      </c>
      <c r="H53" s="100" t="s">
        <v>146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8"/>
      <c r="B54" s="9" t="s">
        <v>32</v>
      </c>
      <c r="C54" s="6" t="s">
        <v>38</v>
      </c>
      <c r="D54" s="6" t="s">
        <v>227</v>
      </c>
      <c r="E54" s="8"/>
      <c r="F54" s="16">
        <v>27</v>
      </c>
      <c r="G54" s="99"/>
      <c r="H54" s="100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>
        <v>21</v>
      </c>
      <c r="B55" s="9" t="s">
        <v>32</v>
      </c>
      <c r="C55" s="6" t="s">
        <v>93</v>
      </c>
      <c r="D55" s="10" t="s">
        <v>217</v>
      </c>
      <c r="E55" s="8"/>
      <c r="F55" s="16">
        <v>27</v>
      </c>
      <c r="G55" s="99">
        <f t="shared" ref="G55" si="18">SUM(F55:F56)</f>
        <v>54</v>
      </c>
      <c r="H55" s="100" t="s">
        <v>147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8"/>
      <c r="B56" s="9" t="s">
        <v>32</v>
      </c>
      <c r="C56" s="6" t="s">
        <v>38</v>
      </c>
      <c r="D56" s="6" t="s">
        <v>227</v>
      </c>
      <c r="E56" s="8"/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22</v>
      </c>
      <c r="B57" s="9" t="s">
        <v>32</v>
      </c>
      <c r="C57" s="6" t="s">
        <v>93</v>
      </c>
      <c r="D57" s="10" t="s">
        <v>217</v>
      </c>
      <c r="E57" s="8"/>
      <c r="F57" s="16">
        <v>27</v>
      </c>
      <c r="G57" s="99">
        <f t="shared" ref="G57" si="19">SUM(F57:F58)</f>
        <v>54</v>
      </c>
      <c r="H57" s="100" t="s">
        <v>148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8"/>
      <c r="B58" s="9" t="s">
        <v>32</v>
      </c>
      <c r="C58" s="6" t="s">
        <v>38</v>
      </c>
      <c r="D58" s="6" t="s">
        <v>227</v>
      </c>
      <c r="E58" s="8"/>
      <c r="F58" s="16">
        <v>27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7">
        <v>23</v>
      </c>
      <c r="B59" s="9" t="s">
        <v>32</v>
      </c>
      <c r="C59" s="6" t="s">
        <v>93</v>
      </c>
      <c r="D59" s="10" t="s">
        <v>217</v>
      </c>
      <c r="E59" s="8"/>
      <c r="F59" s="16">
        <v>23</v>
      </c>
      <c r="G59" s="99">
        <f t="shared" ref="G59" si="20">SUM(F59:F61)</f>
        <v>54</v>
      </c>
      <c r="H59" s="100" t="s">
        <v>149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/>
      <c r="B60" s="9" t="s">
        <v>32</v>
      </c>
      <c r="C60" s="6" t="s">
        <v>94</v>
      </c>
      <c r="D60" s="10" t="s">
        <v>217</v>
      </c>
      <c r="E60" s="8"/>
      <c r="F60" s="16">
        <v>4</v>
      </c>
      <c r="G60" s="99"/>
      <c r="H60" s="100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 t="s">
        <v>32</v>
      </c>
      <c r="C61" s="6" t="s">
        <v>38</v>
      </c>
      <c r="D61" s="6" t="s">
        <v>227</v>
      </c>
      <c r="E61" s="8"/>
      <c r="F61" s="16">
        <v>27</v>
      </c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24</v>
      </c>
      <c r="B62" s="9" t="s">
        <v>32</v>
      </c>
      <c r="C62" s="6" t="s">
        <v>94</v>
      </c>
      <c r="D62" s="10" t="s">
        <v>217</v>
      </c>
      <c r="E62" s="8"/>
      <c r="F62" s="16">
        <v>27</v>
      </c>
      <c r="G62" s="99">
        <f t="shared" ref="G62" si="21">SUM(F62:F63)</f>
        <v>54</v>
      </c>
      <c r="H62" s="100" t="s">
        <v>150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 t="s">
        <v>32</v>
      </c>
      <c r="C63" s="6" t="s">
        <v>38</v>
      </c>
      <c r="D63" s="6" t="s">
        <v>227</v>
      </c>
      <c r="E63" s="8"/>
      <c r="F63" s="16">
        <v>27</v>
      </c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25</v>
      </c>
      <c r="B64" s="9" t="s">
        <v>32</v>
      </c>
      <c r="C64" s="6" t="s">
        <v>94</v>
      </c>
      <c r="D64" s="10" t="s">
        <v>217</v>
      </c>
      <c r="E64" s="8"/>
      <c r="F64" s="16">
        <v>27</v>
      </c>
      <c r="G64" s="99">
        <f t="shared" ref="G64" si="22">SUM(F64:F65)</f>
        <v>54</v>
      </c>
      <c r="H64" s="100" t="s">
        <v>151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 t="s">
        <v>32</v>
      </c>
      <c r="C65" s="6" t="s">
        <v>38</v>
      </c>
      <c r="D65" s="6" t="s">
        <v>227</v>
      </c>
      <c r="E65" s="8"/>
      <c r="F65" s="16">
        <v>27</v>
      </c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26</v>
      </c>
      <c r="B66" s="9" t="s">
        <v>32</v>
      </c>
      <c r="C66" s="6" t="s">
        <v>94</v>
      </c>
      <c r="D66" s="10" t="s">
        <v>217</v>
      </c>
      <c r="E66" s="8"/>
      <c r="F66" s="16">
        <v>27</v>
      </c>
      <c r="G66" s="99">
        <f t="shared" ref="G66" si="23">SUM(F66:F68)</f>
        <v>54</v>
      </c>
      <c r="H66" s="100" t="s">
        <v>152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7"/>
      <c r="B67" s="9" t="s">
        <v>69</v>
      </c>
      <c r="C67" s="6" t="s">
        <v>34</v>
      </c>
      <c r="D67" s="10" t="s">
        <v>182</v>
      </c>
      <c r="E67" s="8"/>
      <c r="F67" s="16">
        <v>12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8"/>
      <c r="B68" s="9" t="s">
        <v>32</v>
      </c>
      <c r="C68" s="6" t="s">
        <v>38</v>
      </c>
      <c r="D68" s="6" t="s">
        <v>227</v>
      </c>
      <c r="E68" s="8"/>
      <c r="F68" s="16">
        <v>15</v>
      </c>
      <c r="G68" s="99"/>
      <c r="H68" s="100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7">
        <v>27</v>
      </c>
      <c r="B69" s="9" t="s">
        <v>32</v>
      </c>
      <c r="C69" s="6" t="s">
        <v>94</v>
      </c>
      <c r="D69" s="10" t="s">
        <v>217</v>
      </c>
      <c r="E69" s="8"/>
      <c r="F69" s="16">
        <v>27</v>
      </c>
      <c r="G69" s="99">
        <f t="shared" ref="G69" si="24">SUM(F69:F70)</f>
        <v>54</v>
      </c>
      <c r="H69" s="100" t="s">
        <v>153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8"/>
      <c r="B70" s="9" t="s">
        <v>69</v>
      </c>
      <c r="C70" s="6" t="s">
        <v>34</v>
      </c>
      <c r="D70" s="10" t="s">
        <v>182</v>
      </c>
      <c r="E70" s="8"/>
      <c r="F70" s="16">
        <v>27</v>
      </c>
      <c r="G70" s="99"/>
      <c r="H70" s="100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7">
        <v>28</v>
      </c>
      <c r="B71" s="9" t="s">
        <v>32</v>
      </c>
      <c r="C71" s="6" t="s">
        <v>94</v>
      </c>
      <c r="D71" s="10" t="s">
        <v>217</v>
      </c>
      <c r="E71" s="8"/>
      <c r="F71" s="16">
        <v>27</v>
      </c>
      <c r="G71" s="99">
        <f t="shared" ref="G71" si="25">SUM(F71:F72)</f>
        <v>54</v>
      </c>
      <c r="H71" s="100" t="s">
        <v>154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8"/>
      <c r="B72" s="9" t="s">
        <v>69</v>
      </c>
      <c r="C72" s="6" t="s">
        <v>34</v>
      </c>
      <c r="D72" s="10" t="s">
        <v>182</v>
      </c>
      <c r="E72" s="8"/>
      <c r="F72" s="16">
        <v>27</v>
      </c>
      <c r="G72" s="99"/>
      <c r="H72" s="100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7">
        <v>29</v>
      </c>
      <c r="B73" s="9" t="s">
        <v>32</v>
      </c>
      <c r="C73" s="6" t="s">
        <v>94</v>
      </c>
      <c r="D73" s="10" t="s">
        <v>217</v>
      </c>
      <c r="E73" s="8"/>
      <c r="F73" s="16">
        <v>27</v>
      </c>
      <c r="G73" s="99">
        <f t="shared" ref="G73" si="26">SUM(F73:F74)</f>
        <v>54</v>
      </c>
      <c r="H73" s="100" t="s">
        <v>155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8"/>
      <c r="B74" s="9" t="s">
        <v>69</v>
      </c>
      <c r="C74" s="6" t="s">
        <v>34</v>
      </c>
      <c r="D74" s="10" t="s">
        <v>182</v>
      </c>
      <c r="E74" s="8"/>
      <c r="F74" s="16">
        <v>27</v>
      </c>
      <c r="G74" s="99"/>
      <c r="H74" s="10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7">
        <v>30</v>
      </c>
      <c r="B75" s="9" t="s">
        <v>32</v>
      </c>
      <c r="C75" s="6" t="s">
        <v>94</v>
      </c>
      <c r="D75" s="10" t="s">
        <v>217</v>
      </c>
      <c r="E75" s="8"/>
      <c r="F75" s="16">
        <v>27</v>
      </c>
      <c r="G75" s="99">
        <f t="shared" ref="G75" si="27">SUM(F75:F76)</f>
        <v>54</v>
      </c>
      <c r="H75" s="100" t="s">
        <v>156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8"/>
      <c r="B76" s="9" t="s">
        <v>69</v>
      </c>
      <c r="C76" s="6" t="s">
        <v>34</v>
      </c>
      <c r="D76" s="10" t="s">
        <v>182</v>
      </c>
      <c r="E76" s="8"/>
      <c r="F76" s="16">
        <v>27</v>
      </c>
      <c r="G76" s="99"/>
      <c r="H76" s="10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7">
        <v>31</v>
      </c>
      <c r="B77" s="9" t="s">
        <v>32</v>
      </c>
      <c r="C77" s="6" t="s">
        <v>94</v>
      </c>
      <c r="D77" s="10" t="s">
        <v>217</v>
      </c>
      <c r="E77" s="8"/>
      <c r="F77" s="16">
        <v>5</v>
      </c>
      <c r="G77" s="99">
        <f t="shared" ref="G77" si="28">SUM(F77:F79)</f>
        <v>54</v>
      </c>
      <c r="H77" s="100" t="s">
        <v>157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/>
      <c r="B78" s="9" t="s">
        <v>69</v>
      </c>
      <c r="C78" s="6" t="s">
        <v>10</v>
      </c>
      <c r="D78" s="10" t="s">
        <v>218</v>
      </c>
      <c r="E78" s="8"/>
      <c r="F78" s="16">
        <v>22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 t="s">
        <v>69</v>
      </c>
      <c r="C79" s="6" t="s">
        <v>34</v>
      </c>
      <c r="D79" s="10" t="s">
        <v>182</v>
      </c>
      <c r="E79" s="8"/>
      <c r="F79" s="16">
        <v>27</v>
      </c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32</v>
      </c>
      <c r="B80" s="9" t="s">
        <v>69</v>
      </c>
      <c r="C80" s="6" t="s">
        <v>26</v>
      </c>
      <c r="D80" s="10" t="s">
        <v>219</v>
      </c>
      <c r="E80" s="8"/>
      <c r="F80" s="16">
        <v>27</v>
      </c>
      <c r="G80" s="99">
        <f t="shared" ref="G80" si="29">SUM(F80:F82)</f>
        <v>54</v>
      </c>
      <c r="H80" s="100" t="s">
        <v>158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7"/>
      <c r="B81" s="9" t="s">
        <v>69</v>
      </c>
      <c r="C81" s="6" t="s">
        <v>11</v>
      </c>
      <c r="D81" s="10" t="s">
        <v>228</v>
      </c>
      <c r="E81" s="8"/>
      <c r="F81" s="16">
        <v>19</v>
      </c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8"/>
      <c r="B82" s="9" t="s">
        <v>69</v>
      </c>
      <c r="C82" s="6" t="s">
        <v>34</v>
      </c>
      <c r="D82" s="10" t="s">
        <v>182</v>
      </c>
      <c r="E82" s="8"/>
      <c r="F82" s="16">
        <v>8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7">
        <v>33</v>
      </c>
      <c r="B83" s="9" t="s">
        <v>69</v>
      </c>
      <c r="C83" s="6" t="s">
        <v>26</v>
      </c>
      <c r="D83" s="10" t="s">
        <v>219</v>
      </c>
      <c r="E83" s="8"/>
      <c r="F83" s="16">
        <v>27</v>
      </c>
      <c r="G83" s="99">
        <f t="shared" ref="G83" si="30">SUM(F83:F84)</f>
        <v>54</v>
      </c>
      <c r="H83" s="100" t="s">
        <v>159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8"/>
      <c r="B84" s="9" t="s">
        <v>69</v>
      </c>
      <c r="C84" s="6" t="s">
        <v>11</v>
      </c>
      <c r="D84" s="10" t="s">
        <v>228</v>
      </c>
      <c r="E84" s="8"/>
      <c r="F84" s="16">
        <v>27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7">
        <v>34</v>
      </c>
      <c r="B85" s="9" t="s">
        <v>69</v>
      </c>
      <c r="C85" s="6" t="s">
        <v>26</v>
      </c>
      <c r="D85" s="10" t="s">
        <v>219</v>
      </c>
      <c r="E85" s="8"/>
      <c r="F85" s="16">
        <v>27</v>
      </c>
      <c r="G85" s="99">
        <f t="shared" ref="G85" si="31">SUM(F85:F87)</f>
        <v>54</v>
      </c>
      <c r="H85" s="100" t="s">
        <v>160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/>
      <c r="B86" s="9" t="s">
        <v>69</v>
      </c>
      <c r="C86" s="6" t="s">
        <v>33</v>
      </c>
      <c r="D86" s="10" t="s">
        <v>229</v>
      </c>
      <c r="E86" s="8"/>
      <c r="F86" s="16">
        <v>12</v>
      </c>
      <c r="G86" s="99"/>
      <c r="H86" s="10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 t="s">
        <v>69</v>
      </c>
      <c r="C87" s="6" t="s">
        <v>11</v>
      </c>
      <c r="D87" s="10" t="s">
        <v>228</v>
      </c>
      <c r="E87" s="8"/>
      <c r="F87" s="16">
        <v>15</v>
      </c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35</v>
      </c>
      <c r="B88" s="9" t="s">
        <v>69</v>
      </c>
      <c r="C88" s="6" t="s">
        <v>26</v>
      </c>
      <c r="D88" s="10" t="s">
        <v>219</v>
      </c>
      <c r="E88" s="8"/>
      <c r="F88" s="16">
        <v>27</v>
      </c>
      <c r="G88" s="99">
        <f t="shared" ref="G88" si="32">SUM(F88:F89)</f>
        <v>54</v>
      </c>
      <c r="H88" s="100" t="s">
        <v>161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 t="s">
        <v>69</v>
      </c>
      <c r="C89" s="6" t="s">
        <v>33</v>
      </c>
      <c r="D89" s="10" t="s">
        <v>229</v>
      </c>
      <c r="E89" s="8"/>
      <c r="F89" s="16">
        <v>27</v>
      </c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36</v>
      </c>
      <c r="B90" s="9" t="s">
        <v>69</v>
      </c>
      <c r="C90" s="6" t="s">
        <v>26</v>
      </c>
      <c r="D90" s="10" t="s">
        <v>219</v>
      </c>
      <c r="E90" s="8"/>
      <c r="F90" s="16">
        <v>2</v>
      </c>
      <c r="G90" s="99">
        <f t="shared" ref="G90" si="33">SUM(F90:F92)</f>
        <v>54</v>
      </c>
      <c r="H90" s="100" t="s">
        <v>162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7"/>
      <c r="B91" s="9" t="s">
        <v>69</v>
      </c>
      <c r="C91" s="6" t="s">
        <v>31</v>
      </c>
      <c r="D91" s="10" t="s">
        <v>220</v>
      </c>
      <c r="E91" s="8"/>
      <c r="F91" s="16">
        <v>25</v>
      </c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8"/>
      <c r="B92" s="9" t="s">
        <v>69</v>
      </c>
      <c r="C92" s="6" t="s">
        <v>33</v>
      </c>
      <c r="D92" s="10" t="s">
        <v>229</v>
      </c>
      <c r="E92" s="8"/>
      <c r="F92" s="16">
        <v>27</v>
      </c>
      <c r="G92" s="99"/>
      <c r="H92" s="10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7">
        <v>37</v>
      </c>
      <c r="B93" s="9" t="s">
        <v>69</v>
      </c>
      <c r="C93" s="6" t="s">
        <v>31</v>
      </c>
      <c r="D93" s="10" t="s">
        <v>220</v>
      </c>
      <c r="E93" s="8"/>
      <c r="F93" s="16">
        <v>25</v>
      </c>
      <c r="G93" s="99">
        <f>SUM(F93:F95)</f>
        <v>54</v>
      </c>
      <c r="H93" s="100" t="s">
        <v>163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/>
      <c r="B94" s="9" t="s">
        <v>69</v>
      </c>
      <c r="C94" s="6" t="s">
        <v>33</v>
      </c>
      <c r="D94" s="10" t="s">
        <v>229</v>
      </c>
      <c r="E94" s="8"/>
      <c r="F94" s="16">
        <v>2</v>
      </c>
      <c r="G94" s="99"/>
      <c r="H94" s="100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 t="s">
        <v>69</v>
      </c>
      <c r="C95" s="6" t="s">
        <v>36</v>
      </c>
      <c r="D95" s="10" t="s">
        <v>230</v>
      </c>
      <c r="E95" s="8"/>
      <c r="F95" s="16">
        <v>27</v>
      </c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38</v>
      </c>
      <c r="B96" s="9" t="s">
        <v>69</v>
      </c>
      <c r="C96" s="6" t="s">
        <v>31</v>
      </c>
      <c r="D96" s="10" t="s">
        <v>220</v>
      </c>
      <c r="E96" s="8"/>
      <c r="F96" s="16">
        <v>25</v>
      </c>
      <c r="G96" s="99">
        <f>SUM(F96:F98)</f>
        <v>54</v>
      </c>
      <c r="H96" s="100" t="s">
        <v>164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7"/>
      <c r="B97" s="9" t="s">
        <v>69</v>
      </c>
      <c r="C97" s="6" t="s">
        <v>13</v>
      </c>
      <c r="D97" s="10" t="s">
        <v>232</v>
      </c>
      <c r="E97" s="8"/>
      <c r="F97" s="16">
        <v>2</v>
      </c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8"/>
      <c r="B98" s="9" t="s">
        <v>69</v>
      </c>
      <c r="C98" s="6" t="s">
        <v>36</v>
      </c>
      <c r="D98" s="10" t="s">
        <v>230</v>
      </c>
      <c r="E98" s="8"/>
      <c r="F98" s="16">
        <v>27</v>
      </c>
      <c r="G98" s="99"/>
      <c r="H98" s="10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7">
        <v>39</v>
      </c>
      <c r="B99" s="9" t="s">
        <v>69</v>
      </c>
      <c r="C99" s="6" t="s">
        <v>31</v>
      </c>
      <c r="D99" s="10" t="s">
        <v>220</v>
      </c>
      <c r="E99" s="8"/>
      <c r="F99" s="16">
        <v>25</v>
      </c>
      <c r="G99" s="99">
        <f>SUM(F99:F100)</f>
        <v>52</v>
      </c>
      <c r="H99" s="100" t="s">
        <v>165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7"/>
      <c r="B100" s="9" t="s">
        <v>69</v>
      </c>
      <c r="C100" s="6" t="s">
        <v>8</v>
      </c>
      <c r="D100" s="10" t="s">
        <v>231</v>
      </c>
      <c r="E100" s="8"/>
      <c r="F100" s="16">
        <v>27</v>
      </c>
      <c r="G100" s="99"/>
      <c r="H100" s="10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7">
        <v>40</v>
      </c>
      <c r="B101" s="9" t="s">
        <v>69</v>
      </c>
      <c r="C101" s="6" t="s">
        <v>31</v>
      </c>
      <c r="D101" s="10" t="s">
        <v>220</v>
      </c>
      <c r="E101" s="8"/>
      <c r="F101" s="16">
        <v>19</v>
      </c>
      <c r="G101" s="99">
        <f>SUM(F101:F103)</f>
        <v>54</v>
      </c>
      <c r="H101" s="100" t="s">
        <v>166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/>
      <c r="B102" s="9" t="s">
        <v>69</v>
      </c>
      <c r="C102" s="6" t="s">
        <v>77</v>
      </c>
      <c r="D102" s="10" t="s">
        <v>221</v>
      </c>
      <c r="E102" s="8"/>
      <c r="F102" s="16">
        <v>8</v>
      </c>
      <c r="G102" s="99"/>
      <c r="H102" s="10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 t="s">
        <v>69</v>
      </c>
      <c r="C103" s="6" t="s">
        <v>8</v>
      </c>
      <c r="D103" s="10" t="s">
        <v>231</v>
      </c>
      <c r="E103" s="8"/>
      <c r="F103" s="16">
        <v>27</v>
      </c>
      <c r="G103" s="99"/>
      <c r="H103" s="100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41</v>
      </c>
      <c r="B104" s="9" t="s">
        <v>69</v>
      </c>
      <c r="C104" s="6" t="s">
        <v>77</v>
      </c>
      <c r="D104" s="10" t="s">
        <v>221</v>
      </c>
      <c r="E104" s="8"/>
      <c r="F104" s="16">
        <v>27</v>
      </c>
      <c r="G104" s="99">
        <f>SUM(F104:F106)</f>
        <v>53</v>
      </c>
      <c r="H104" s="100" t="s">
        <v>167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7"/>
      <c r="B105" s="9" t="s">
        <v>32</v>
      </c>
      <c r="C105" s="6" t="s">
        <v>120</v>
      </c>
      <c r="D105" s="10" t="s">
        <v>233</v>
      </c>
      <c r="E105" s="8"/>
      <c r="F105" s="16">
        <v>4</v>
      </c>
      <c r="G105" s="99"/>
      <c r="H105" s="10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8"/>
      <c r="B106" s="9" t="s">
        <v>69</v>
      </c>
      <c r="C106" s="6" t="s">
        <v>26</v>
      </c>
      <c r="D106" s="10" t="s">
        <v>219</v>
      </c>
      <c r="E106" s="8"/>
      <c r="F106" s="16">
        <v>22</v>
      </c>
      <c r="G106" s="99"/>
      <c r="H106" s="100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7">
        <v>42</v>
      </c>
      <c r="B107" s="9" t="s">
        <v>69</v>
      </c>
      <c r="C107" s="6" t="s">
        <v>77</v>
      </c>
      <c r="D107" s="10" t="s">
        <v>221</v>
      </c>
      <c r="E107" s="8"/>
      <c r="F107" s="16">
        <v>27</v>
      </c>
      <c r="G107" s="99">
        <f>SUM(F107:F115)</f>
        <v>53</v>
      </c>
      <c r="H107" s="100" t="s">
        <v>168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/>
      <c r="B108" s="9" t="s">
        <v>84</v>
      </c>
      <c r="C108" s="6" t="s">
        <v>77</v>
      </c>
      <c r="D108" s="10" t="s">
        <v>234</v>
      </c>
      <c r="E108" s="8"/>
      <c r="F108" s="16">
        <v>2</v>
      </c>
      <c r="G108" s="99"/>
      <c r="H108" s="100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7"/>
      <c r="B109" s="9" t="s">
        <v>20</v>
      </c>
      <c r="C109" s="6" t="s">
        <v>34</v>
      </c>
      <c r="D109" s="10" t="s">
        <v>236</v>
      </c>
      <c r="E109" s="8"/>
      <c r="F109" s="16">
        <v>3</v>
      </c>
      <c r="G109" s="99"/>
      <c r="H109" s="10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/>
      <c r="B110" s="9">
        <v>1</v>
      </c>
      <c r="C110" s="6" t="s">
        <v>238</v>
      </c>
      <c r="D110" s="10" t="s">
        <v>237</v>
      </c>
      <c r="E110" s="8"/>
      <c r="F110" s="16">
        <v>2</v>
      </c>
      <c r="G110" s="99"/>
      <c r="H110" s="100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7"/>
      <c r="B111" s="9" t="s">
        <v>32</v>
      </c>
      <c r="C111" s="6" t="s">
        <v>38</v>
      </c>
      <c r="D111" s="10" t="s">
        <v>239</v>
      </c>
      <c r="E111" s="8"/>
      <c r="F111" s="16">
        <v>1</v>
      </c>
      <c r="G111" s="99"/>
      <c r="H111" s="100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/>
      <c r="B112" s="9" t="s">
        <v>20</v>
      </c>
      <c r="C112" s="6" t="s">
        <v>44</v>
      </c>
      <c r="D112" s="10" t="s">
        <v>240</v>
      </c>
      <c r="E112" s="8"/>
      <c r="F112" s="16">
        <v>1</v>
      </c>
      <c r="G112" s="99"/>
      <c r="H112" s="100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7"/>
      <c r="B113" s="9" t="s">
        <v>69</v>
      </c>
      <c r="C113" s="6" t="s">
        <v>243</v>
      </c>
      <c r="D113" s="10" t="s">
        <v>241</v>
      </c>
      <c r="E113" s="8"/>
      <c r="F113" s="16">
        <v>2</v>
      </c>
      <c r="G113" s="99"/>
      <c r="H113" s="100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/>
      <c r="B114" s="9" t="s">
        <v>69</v>
      </c>
      <c r="C114" s="6" t="s">
        <v>243</v>
      </c>
      <c r="D114" s="10" t="s">
        <v>242</v>
      </c>
      <c r="E114" s="8"/>
      <c r="F114" s="16">
        <v>2</v>
      </c>
      <c r="G114" s="99"/>
      <c r="H114" s="100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 t="s">
        <v>69</v>
      </c>
      <c r="C115" s="6" t="s">
        <v>36</v>
      </c>
      <c r="D115" s="10" t="s">
        <v>230</v>
      </c>
      <c r="E115" s="8"/>
      <c r="F115" s="16">
        <v>13</v>
      </c>
      <c r="G115" s="99"/>
      <c r="H115" s="10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43</v>
      </c>
      <c r="B116" s="9" t="s">
        <v>69</v>
      </c>
      <c r="C116" s="6" t="s">
        <v>77</v>
      </c>
      <c r="D116" s="10" t="s">
        <v>221</v>
      </c>
      <c r="E116" s="8"/>
      <c r="F116" s="16">
        <v>27</v>
      </c>
      <c r="G116" s="99">
        <f t="shared" ref="G116" si="34">SUM(F116:F118)</f>
        <v>30</v>
      </c>
      <c r="H116" s="100" t="s">
        <v>169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7"/>
      <c r="B117" s="9" t="s">
        <v>69</v>
      </c>
      <c r="C117" s="6" t="s">
        <v>54</v>
      </c>
      <c r="D117" s="10" t="s">
        <v>244</v>
      </c>
      <c r="E117" s="8"/>
      <c r="F117" s="16">
        <v>1</v>
      </c>
      <c r="G117" s="99"/>
      <c r="H117" s="100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8"/>
      <c r="B118" s="9" t="s">
        <v>69</v>
      </c>
      <c r="C118" s="6" t="s">
        <v>35</v>
      </c>
      <c r="D118" s="10" t="s">
        <v>235</v>
      </c>
      <c r="E118" s="8"/>
      <c r="F118" s="16">
        <v>2</v>
      </c>
      <c r="G118" s="99"/>
      <c r="H118" s="100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7">
        <v>44</v>
      </c>
      <c r="B119" s="9" t="s">
        <v>69</v>
      </c>
      <c r="C119" s="6" t="s">
        <v>77</v>
      </c>
      <c r="D119" s="10" t="s">
        <v>221</v>
      </c>
      <c r="E119" s="8"/>
      <c r="F119" s="16">
        <v>27</v>
      </c>
      <c r="G119" s="99">
        <f t="shared" ref="G119" si="35">SUM(F119:F120)</f>
        <v>34</v>
      </c>
      <c r="H119" s="100" t="s">
        <v>170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8"/>
      <c r="B120" s="9" t="s">
        <v>69</v>
      </c>
      <c r="C120" s="6" t="s">
        <v>13</v>
      </c>
      <c r="D120" s="10" t="s">
        <v>225</v>
      </c>
      <c r="E120" s="8"/>
      <c r="F120" s="16">
        <v>7</v>
      </c>
      <c r="G120" s="99"/>
      <c r="H120" s="100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75" customHeight="1" x14ac:dyDescent="0.3">
      <c r="A121" s="101" t="s">
        <v>15</v>
      </c>
      <c r="B121" s="101"/>
      <c r="C121" s="101"/>
      <c r="D121" s="101"/>
      <c r="E121" s="101"/>
      <c r="F121" s="24"/>
      <c r="G121" s="17">
        <f>SUM(G8:G120)</f>
        <v>2328</v>
      </c>
      <c r="H121" s="18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5.75" customHeight="1" x14ac:dyDescent="0.3">
      <c r="A122" s="102"/>
      <c r="B122" s="103"/>
      <c r="C122" s="103"/>
      <c r="D122" s="103"/>
      <c r="E122" s="103"/>
      <c r="F122" s="104"/>
      <c r="G122" s="104"/>
      <c r="H122" s="10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5.75" customHeight="1" x14ac:dyDescent="0.3">
      <c r="A123" s="106" t="s">
        <v>16</v>
      </c>
      <c r="B123" s="107"/>
      <c r="C123" s="107"/>
      <c r="D123" s="107"/>
      <c r="E123" s="107"/>
      <c r="F123" s="107"/>
      <c r="G123" s="107"/>
      <c r="H123" s="108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5.75" customHeight="1" x14ac:dyDescent="0.3">
      <c r="A124" s="106" t="s">
        <v>70</v>
      </c>
      <c r="B124" s="107"/>
      <c r="C124" s="107"/>
      <c r="D124" s="107"/>
      <c r="E124" s="107"/>
      <c r="F124" s="107"/>
      <c r="G124" s="107"/>
      <c r="H124" s="108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5.75" customHeight="1" x14ac:dyDescent="0.3">
      <c r="A125" s="109"/>
      <c r="B125" s="110"/>
      <c r="C125" s="110"/>
      <c r="D125" s="110"/>
      <c r="E125" s="110"/>
      <c r="F125" s="110"/>
      <c r="G125" s="110"/>
      <c r="H125" s="111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5.75" customHeight="1" x14ac:dyDescent="0.3">
      <c r="A126" s="22"/>
      <c r="B126" s="25"/>
      <c r="C126" s="25"/>
      <c r="D126" s="25"/>
      <c r="E126" s="25"/>
      <c r="F126" s="25"/>
      <c r="G126" s="25"/>
      <c r="H126" s="23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5.75" customHeight="1" x14ac:dyDescent="0.3">
      <c r="A127" s="83" t="s">
        <v>17</v>
      </c>
      <c r="B127" s="84"/>
      <c r="C127" s="84"/>
      <c r="D127" s="84"/>
      <c r="E127" s="84"/>
      <c r="F127" s="84"/>
      <c r="G127" s="84"/>
      <c r="H127" s="8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5.75" customHeight="1" x14ac:dyDescent="0.3">
      <c r="A128" s="86"/>
      <c r="B128" s="87"/>
      <c r="C128" s="87"/>
      <c r="D128" s="87"/>
      <c r="E128" s="87"/>
      <c r="F128" s="87"/>
      <c r="G128" s="87"/>
      <c r="H128" s="88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5.75" customHeight="1" x14ac:dyDescent="0.3">
      <c r="A129" s="12"/>
      <c r="B129" s="12"/>
      <c r="C129" s="12"/>
      <c r="D129" s="12"/>
      <c r="E129" s="12"/>
      <c r="F129" s="12"/>
      <c r="G129" s="12"/>
      <c r="H129" s="7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5.75" customHeight="1" x14ac:dyDescent="0.3">
      <c r="A130" s="12"/>
      <c r="B130" s="12"/>
      <c r="C130" s="12"/>
      <c r="D130" s="12"/>
      <c r="E130" s="12"/>
      <c r="F130" s="12"/>
      <c r="G130" s="12"/>
      <c r="H130" s="7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5.75" customHeight="1" x14ac:dyDescent="0.3">
      <c r="A131" s="12"/>
      <c r="B131" s="12"/>
      <c r="C131" s="12"/>
      <c r="D131" s="12"/>
      <c r="E131" s="12"/>
      <c r="F131" s="12"/>
      <c r="G131" s="12"/>
      <c r="H131" s="7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5.75" customHeight="1" x14ac:dyDescent="0.3">
      <c r="A132" s="12"/>
      <c r="B132" s="12"/>
      <c r="C132" s="12"/>
      <c r="D132" s="12"/>
      <c r="E132" s="12"/>
      <c r="F132" s="12"/>
      <c r="G132" s="12"/>
      <c r="H132" s="7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5.75" customHeight="1" x14ac:dyDescent="0.3">
      <c r="A133" s="12"/>
      <c r="B133" s="12"/>
      <c r="C133" s="12"/>
      <c r="D133" s="12"/>
      <c r="E133" s="12"/>
      <c r="F133" s="12"/>
      <c r="G133" s="12"/>
      <c r="H133" s="7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5.75" customHeight="1" x14ac:dyDescent="0.3">
      <c r="A134" s="12"/>
      <c r="B134" s="12"/>
      <c r="C134" s="12"/>
      <c r="D134" s="12"/>
      <c r="E134" s="12"/>
      <c r="F134" s="12"/>
      <c r="G134" s="12"/>
      <c r="H134" s="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2"/>
      <c r="B135" s="12"/>
      <c r="C135" s="12"/>
      <c r="D135" s="12"/>
      <c r="E135" s="12"/>
      <c r="F135" s="12"/>
      <c r="G135" s="12"/>
      <c r="H135" s="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2"/>
      <c r="B136" s="12"/>
      <c r="C136" s="12"/>
      <c r="D136" s="12"/>
      <c r="E136" s="12"/>
      <c r="F136" s="12"/>
      <c r="G136" s="12"/>
      <c r="H136" s="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2"/>
      <c r="B137" s="12"/>
      <c r="C137" s="12"/>
      <c r="D137" s="12"/>
      <c r="E137" s="12"/>
      <c r="F137" s="12"/>
      <c r="G137" s="12"/>
      <c r="H137" s="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2"/>
      <c r="B138" s="12"/>
      <c r="C138" s="12"/>
      <c r="D138" s="12"/>
      <c r="E138" s="12"/>
      <c r="F138" s="12"/>
      <c r="G138" s="12"/>
      <c r="H138" s="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12"/>
      <c r="B139" s="12"/>
      <c r="C139" s="12"/>
      <c r="D139" s="12"/>
      <c r="E139" s="12"/>
      <c r="F139" s="12"/>
      <c r="G139" s="12"/>
      <c r="H139" s="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12"/>
      <c r="B140" s="12"/>
      <c r="C140" s="12"/>
      <c r="D140" s="12"/>
      <c r="E140" s="12"/>
      <c r="F140" s="12"/>
      <c r="G140" s="12"/>
      <c r="H140" s="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12"/>
      <c r="B141" s="12"/>
      <c r="C141" s="12"/>
      <c r="D141" s="12"/>
      <c r="E141" s="12"/>
      <c r="F141" s="12"/>
      <c r="G141" s="12"/>
      <c r="H141" s="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</sheetData>
  <autoFilter ref="A7:Y121" xr:uid="{00000000-0009-0000-0000-000005000000}"/>
  <mergeCells count="143">
    <mergeCell ref="A10:A11"/>
    <mergeCell ref="G10:G11"/>
    <mergeCell ref="H10:H11"/>
    <mergeCell ref="A12:A14"/>
    <mergeCell ref="G12:G14"/>
    <mergeCell ref="H12:H14"/>
    <mergeCell ref="A1:H1"/>
    <mergeCell ref="A2:H2"/>
    <mergeCell ref="A3:H3"/>
    <mergeCell ref="A4:H4"/>
    <mergeCell ref="A5:H5"/>
    <mergeCell ref="A8:A9"/>
    <mergeCell ref="G8:G9"/>
    <mergeCell ref="H8:H9"/>
    <mergeCell ref="A19:A20"/>
    <mergeCell ref="G19:G20"/>
    <mergeCell ref="H19:H20"/>
    <mergeCell ref="A21:A22"/>
    <mergeCell ref="G21:G22"/>
    <mergeCell ref="H21:H22"/>
    <mergeCell ref="A15:A16"/>
    <mergeCell ref="G15:G16"/>
    <mergeCell ref="H15:H16"/>
    <mergeCell ref="A17:A18"/>
    <mergeCell ref="G17:G18"/>
    <mergeCell ref="H17:H18"/>
    <mergeCell ref="A28:A30"/>
    <mergeCell ref="G28:G30"/>
    <mergeCell ref="H28:H30"/>
    <mergeCell ref="A31:A32"/>
    <mergeCell ref="G31:G32"/>
    <mergeCell ref="H31:H32"/>
    <mergeCell ref="A23:A25"/>
    <mergeCell ref="G23:G25"/>
    <mergeCell ref="H23:H25"/>
    <mergeCell ref="A26:A27"/>
    <mergeCell ref="G26:G27"/>
    <mergeCell ref="H26:H27"/>
    <mergeCell ref="A38:A40"/>
    <mergeCell ref="G38:G40"/>
    <mergeCell ref="H38:H40"/>
    <mergeCell ref="A41:A42"/>
    <mergeCell ref="G41:G42"/>
    <mergeCell ref="H41:H42"/>
    <mergeCell ref="A33:A35"/>
    <mergeCell ref="G33:G35"/>
    <mergeCell ref="H33:H35"/>
    <mergeCell ref="A36:A37"/>
    <mergeCell ref="G36:G37"/>
    <mergeCell ref="H36:H37"/>
    <mergeCell ref="A49:A50"/>
    <mergeCell ref="G49:G50"/>
    <mergeCell ref="H49:H50"/>
    <mergeCell ref="A51:A52"/>
    <mergeCell ref="G51:G52"/>
    <mergeCell ref="H51:H52"/>
    <mergeCell ref="A43:A46"/>
    <mergeCell ref="G43:G46"/>
    <mergeCell ref="H43:H46"/>
    <mergeCell ref="A47:A48"/>
    <mergeCell ref="G47:G48"/>
    <mergeCell ref="H47:H48"/>
    <mergeCell ref="A57:A58"/>
    <mergeCell ref="G57:G58"/>
    <mergeCell ref="H57:H58"/>
    <mergeCell ref="A59:A61"/>
    <mergeCell ref="G59:G61"/>
    <mergeCell ref="H59:H61"/>
    <mergeCell ref="A53:A54"/>
    <mergeCell ref="G53:G54"/>
    <mergeCell ref="H53:H54"/>
    <mergeCell ref="A55:A56"/>
    <mergeCell ref="G55:G56"/>
    <mergeCell ref="H55:H56"/>
    <mergeCell ref="A66:A68"/>
    <mergeCell ref="G66:G68"/>
    <mergeCell ref="H66:H68"/>
    <mergeCell ref="A69:A70"/>
    <mergeCell ref="G69:G70"/>
    <mergeCell ref="H69:H70"/>
    <mergeCell ref="A62:A63"/>
    <mergeCell ref="G62:G63"/>
    <mergeCell ref="H62:H63"/>
    <mergeCell ref="A64:A65"/>
    <mergeCell ref="G64:G65"/>
    <mergeCell ref="H64:H65"/>
    <mergeCell ref="A75:A76"/>
    <mergeCell ref="G75:G76"/>
    <mergeCell ref="H75:H76"/>
    <mergeCell ref="A77:A79"/>
    <mergeCell ref="G77:G79"/>
    <mergeCell ref="H77:H79"/>
    <mergeCell ref="A71:A72"/>
    <mergeCell ref="G71:G72"/>
    <mergeCell ref="H71:H72"/>
    <mergeCell ref="A73:A74"/>
    <mergeCell ref="G73:G74"/>
    <mergeCell ref="H73:H74"/>
    <mergeCell ref="A85:A87"/>
    <mergeCell ref="G85:G87"/>
    <mergeCell ref="H85:H87"/>
    <mergeCell ref="A88:A89"/>
    <mergeCell ref="G88:G89"/>
    <mergeCell ref="H88:H89"/>
    <mergeCell ref="A80:A82"/>
    <mergeCell ref="G80:G82"/>
    <mergeCell ref="H80:H82"/>
    <mergeCell ref="A83:A84"/>
    <mergeCell ref="G83:G84"/>
    <mergeCell ref="H83:H84"/>
    <mergeCell ref="A96:A98"/>
    <mergeCell ref="G96:G98"/>
    <mergeCell ref="H96:H98"/>
    <mergeCell ref="A99:A100"/>
    <mergeCell ref="G99:G100"/>
    <mergeCell ref="H99:H100"/>
    <mergeCell ref="A90:A92"/>
    <mergeCell ref="G90:G92"/>
    <mergeCell ref="H90:H92"/>
    <mergeCell ref="A93:A95"/>
    <mergeCell ref="G93:G95"/>
    <mergeCell ref="H93:H95"/>
    <mergeCell ref="A107:A115"/>
    <mergeCell ref="G107:G115"/>
    <mergeCell ref="H107:H115"/>
    <mergeCell ref="A116:A118"/>
    <mergeCell ref="G116:G118"/>
    <mergeCell ref="H116:H118"/>
    <mergeCell ref="A101:A103"/>
    <mergeCell ref="G101:G103"/>
    <mergeCell ref="H101:H103"/>
    <mergeCell ref="A104:A106"/>
    <mergeCell ref="G104:G106"/>
    <mergeCell ref="H104:H106"/>
    <mergeCell ref="A119:A120"/>
    <mergeCell ref="G119:G120"/>
    <mergeCell ref="H119:H120"/>
    <mergeCell ref="A124:H124"/>
    <mergeCell ref="A125:H125"/>
    <mergeCell ref="A127:H128"/>
    <mergeCell ref="A121:E121"/>
    <mergeCell ref="A122:H122"/>
    <mergeCell ref="A123:H123"/>
  </mergeCells>
  <pageMargins left="0.7" right="0.7" top="0.75" bottom="0.75" header="0" footer="0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  <outlinePr summaryBelow="0" summaryRight="0"/>
  </sheetPr>
  <dimension ref="A1:Y742"/>
  <sheetViews>
    <sheetView zoomScale="85" zoomScaleNormal="85" workbookViewId="0">
      <pane ySplit="7" topLeftCell="A116" activePane="bottomLeft" state="frozen"/>
      <selection pane="bottomLeft" activeCell="K2" sqref="K2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7" width="14.44140625" style="11" customWidth="1"/>
    <col min="8" max="8" width="17.109375" style="11" customWidth="1"/>
    <col min="9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132</v>
      </c>
      <c r="K2" s="12">
        <v>3733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669</v>
      </c>
      <c r="B4" s="115"/>
      <c r="C4" s="116"/>
      <c r="D4" s="116"/>
      <c r="E4" s="116"/>
      <c r="F4" s="116"/>
      <c r="G4" s="116"/>
      <c r="H4" s="116"/>
      <c r="I4" s="12"/>
      <c r="J4" s="12">
        <f>J2/J3</f>
        <v>4.8888888888888893</v>
      </c>
      <c r="K4" s="12">
        <f>K2/K3</f>
        <v>69.129629629629633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 t="s">
        <v>32</v>
      </c>
      <c r="C8" s="6" t="s">
        <v>31</v>
      </c>
      <c r="D8" s="10" t="s">
        <v>682</v>
      </c>
      <c r="E8" s="8"/>
      <c r="F8" s="16">
        <v>27</v>
      </c>
      <c r="G8" s="99">
        <f>SUM(F8:F9)</f>
        <v>54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 t="s">
        <v>32</v>
      </c>
      <c r="C9" s="6" t="s">
        <v>94</v>
      </c>
      <c r="D9" s="6" t="s">
        <v>683</v>
      </c>
      <c r="E9" s="8"/>
      <c r="F9" s="16">
        <v>27</v>
      </c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 t="s">
        <v>32</v>
      </c>
      <c r="C10" s="6" t="s">
        <v>31</v>
      </c>
      <c r="D10" s="10" t="s">
        <v>682</v>
      </c>
      <c r="E10" s="8"/>
      <c r="F10" s="16">
        <v>27</v>
      </c>
      <c r="G10" s="99">
        <f t="shared" ref="G10" si="0">SUM(F10:F12)</f>
        <v>54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7"/>
      <c r="B11" s="9" t="s">
        <v>32</v>
      </c>
      <c r="C11" s="6" t="s">
        <v>77</v>
      </c>
      <c r="D11" s="10" t="s">
        <v>684</v>
      </c>
      <c r="E11" s="8"/>
      <c r="F11" s="16">
        <v>17</v>
      </c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8"/>
      <c r="B12" s="9" t="s">
        <v>32</v>
      </c>
      <c r="C12" s="6" t="s">
        <v>94</v>
      </c>
      <c r="D12" s="6" t="s">
        <v>683</v>
      </c>
      <c r="E12" s="8"/>
      <c r="F12" s="16">
        <v>10</v>
      </c>
      <c r="G12" s="99"/>
      <c r="H12" s="100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7">
        <v>3</v>
      </c>
      <c r="B13" s="9" t="s">
        <v>32</v>
      </c>
      <c r="C13" s="6" t="s">
        <v>31</v>
      </c>
      <c r="D13" s="10" t="s">
        <v>682</v>
      </c>
      <c r="E13" s="8"/>
      <c r="F13" s="16">
        <v>27</v>
      </c>
      <c r="G13" s="99">
        <f t="shared" ref="G13" si="1">SUM(F13:F14)</f>
        <v>54</v>
      </c>
      <c r="H13" s="100" t="s">
        <v>129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8"/>
      <c r="B14" s="9" t="s">
        <v>32</v>
      </c>
      <c r="C14" s="6" t="s">
        <v>77</v>
      </c>
      <c r="D14" s="10" t="s">
        <v>684</v>
      </c>
      <c r="E14" s="8"/>
      <c r="F14" s="16">
        <v>27</v>
      </c>
      <c r="G14" s="99"/>
      <c r="H14" s="10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7">
        <v>4</v>
      </c>
      <c r="B15" s="9" t="s">
        <v>32</v>
      </c>
      <c r="C15" s="6" t="s">
        <v>31</v>
      </c>
      <c r="D15" s="10" t="s">
        <v>682</v>
      </c>
      <c r="E15" s="8"/>
      <c r="F15" s="16">
        <v>27</v>
      </c>
      <c r="G15" s="99">
        <f t="shared" ref="G15" si="2">SUM(F15:F16)</f>
        <v>54</v>
      </c>
      <c r="H15" s="100" t="s">
        <v>130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8"/>
      <c r="B16" s="9" t="s">
        <v>32</v>
      </c>
      <c r="C16" s="6" t="s">
        <v>77</v>
      </c>
      <c r="D16" s="10" t="s">
        <v>684</v>
      </c>
      <c r="E16" s="8"/>
      <c r="F16" s="16">
        <v>27</v>
      </c>
      <c r="G16" s="99"/>
      <c r="H16" s="10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7">
        <v>5</v>
      </c>
      <c r="B17" s="9" t="s">
        <v>32</v>
      </c>
      <c r="C17" s="6" t="s">
        <v>31</v>
      </c>
      <c r="D17" s="10" t="s">
        <v>682</v>
      </c>
      <c r="E17" s="8"/>
      <c r="F17" s="16">
        <v>5</v>
      </c>
      <c r="G17" s="99">
        <f t="shared" ref="G17" si="3">SUM(F17:F19)</f>
        <v>54</v>
      </c>
      <c r="H17" s="100" t="s">
        <v>131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/>
      <c r="B18" s="9" t="s">
        <v>32</v>
      </c>
      <c r="C18" s="6" t="s">
        <v>38</v>
      </c>
      <c r="D18" s="10" t="s">
        <v>682</v>
      </c>
      <c r="E18" s="8"/>
      <c r="F18" s="16">
        <v>22</v>
      </c>
      <c r="G18" s="99"/>
      <c r="H18" s="100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 t="s">
        <v>32</v>
      </c>
      <c r="C19" s="6" t="s">
        <v>77</v>
      </c>
      <c r="D19" s="10" t="s">
        <v>684</v>
      </c>
      <c r="E19" s="8"/>
      <c r="F19" s="16">
        <v>27</v>
      </c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6</v>
      </c>
      <c r="B20" s="9" t="s">
        <v>32</v>
      </c>
      <c r="C20" s="6" t="s">
        <v>38</v>
      </c>
      <c r="D20" s="10" t="s">
        <v>682</v>
      </c>
      <c r="E20" s="8"/>
      <c r="F20" s="16">
        <v>27</v>
      </c>
      <c r="G20" s="99">
        <f t="shared" ref="G20" si="4">SUM(F20:F21)</f>
        <v>54</v>
      </c>
      <c r="H20" s="100" t="s">
        <v>132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 t="s">
        <v>32</v>
      </c>
      <c r="C21" s="6" t="s">
        <v>77</v>
      </c>
      <c r="D21" s="10" t="s">
        <v>684</v>
      </c>
      <c r="E21" s="8"/>
      <c r="F21" s="16">
        <v>27</v>
      </c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7</v>
      </c>
      <c r="B22" s="9" t="s">
        <v>32</v>
      </c>
      <c r="C22" s="6" t="s">
        <v>38</v>
      </c>
      <c r="D22" s="10" t="s">
        <v>682</v>
      </c>
      <c r="E22" s="8"/>
      <c r="F22" s="16">
        <v>27</v>
      </c>
      <c r="G22" s="99">
        <f t="shared" ref="G22" si="5">SUM(F22:F23)</f>
        <v>54</v>
      </c>
      <c r="H22" s="100" t="s">
        <v>133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 t="s">
        <v>32</v>
      </c>
      <c r="C23" s="6" t="s">
        <v>77</v>
      </c>
      <c r="D23" s="10" t="s">
        <v>684</v>
      </c>
      <c r="E23" s="8"/>
      <c r="F23" s="16">
        <v>27</v>
      </c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8</v>
      </c>
      <c r="B24" s="9" t="s">
        <v>32</v>
      </c>
      <c r="C24" s="6" t="s">
        <v>38</v>
      </c>
      <c r="D24" s="10" t="s">
        <v>682</v>
      </c>
      <c r="E24" s="8"/>
      <c r="F24" s="16">
        <v>27</v>
      </c>
      <c r="G24" s="99">
        <f t="shared" ref="G24" si="6">SUM(F24:F25)</f>
        <v>54</v>
      </c>
      <c r="H24" s="100" t="s">
        <v>134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 t="s">
        <v>32</v>
      </c>
      <c r="C25" s="6" t="s">
        <v>77</v>
      </c>
      <c r="D25" s="10" t="s">
        <v>684</v>
      </c>
      <c r="E25" s="8"/>
      <c r="F25" s="16">
        <v>27</v>
      </c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9</v>
      </c>
      <c r="B26" s="9" t="s">
        <v>32</v>
      </c>
      <c r="C26" s="6" t="s">
        <v>38</v>
      </c>
      <c r="D26" s="10" t="s">
        <v>682</v>
      </c>
      <c r="E26" s="8"/>
      <c r="F26" s="16">
        <v>27</v>
      </c>
      <c r="G26" s="99">
        <f t="shared" ref="G26" si="7">SUM(F26:F28)</f>
        <v>54</v>
      </c>
      <c r="H26" s="100" t="s">
        <v>135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7"/>
      <c r="B27" s="9" t="s">
        <v>32</v>
      </c>
      <c r="C27" s="6" t="s">
        <v>33</v>
      </c>
      <c r="D27" s="10" t="s">
        <v>684</v>
      </c>
      <c r="E27" s="8"/>
      <c r="F27" s="16">
        <v>19</v>
      </c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8"/>
      <c r="B28" s="9" t="s">
        <v>32</v>
      </c>
      <c r="C28" s="6" t="s">
        <v>77</v>
      </c>
      <c r="D28" s="10" t="s">
        <v>684</v>
      </c>
      <c r="E28" s="8"/>
      <c r="F28" s="16">
        <v>8</v>
      </c>
      <c r="G28" s="99"/>
      <c r="H28" s="100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7">
        <v>10</v>
      </c>
      <c r="B29" s="9" t="s">
        <v>32</v>
      </c>
      <c r="C29" s="6" t="s">
        <v>38</v>
      </c>
      <c r="D29" s="10" t="s">
        <v>682</v>
      </c>
      <c r="E29" s="8"/>
      <c r="F29" s="16">
        <v>27</v>
      </c>
      <c r="G29" s="99">
        <f t="shared" ref="G29" si="8">SUM(F29:F30)</f>
        <v>54</v>
      </c>
      <c r="H29" s="100" t="s">
        <v>136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8"/>
      <c r="B30" s="9" t="s">
        <v>32</v>
      </c>
      <c r="C30" s="6" t="s">
        <v>33</v>
      </c>
      <c r="D30" s="10" t="s">
        <v>684</v>
      </c>
      <c r="E30" s="8"/>
      <c r="F30" s="16">
        <v>27</v>
      </c>
      <c r="G30" s="99"/>
      <c r="H30" s="100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7">
        <v>11</v>
      </c>
      <c r="B31" s="9" t="s">
        <v>32</v>
      </c>
      <c r="C31" s="6" t="s">
        <v>38</v>
      </c>
      <c r="D31" s="10" t="s">
        <v>682</v>
      </c>
      <c r="E31" s="8"/>
      <c r="F31" s="16">
        <v>27</v>
      </c>
      <c r="G31" s="99">
        <f t="shared" ref="G31" si="9">SUM(F31:F33)</f>
        <v>54</v>
      </c>
      <c r="H31" s="100" t="s">
        <v>137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/>
      <c r="B32" s="9" t="s">
        <v>32</v>
      </c>
      <c r="C32" s="6" t="s">
        <v>8</v>
      </c>
      <c r="D32" s="10" t="s">
        <v>684</v>
      </c>
      <c r="E32" s="8"/>
      <c r="F32" s="16">
        <v>6</v>
      </c>
      <c r="G32" s="99"/>
      <c r="H32" s="100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 t="s">
        <v>32</v>
      </c>
      <c r="C33" s="6" t="s">
        <v>33</v>
      </c>
      <c r="D33" s="10" t="s">
        <v>684</v>
      </c>
      <c r="E33" s="8"/>
      <c r="F33" s="16">
        <v>21</v>
      </c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12</v>
      </c>
      <c r="B34" s="9" t="s">
        <v>32</v>
      </c>
      <c r="C34" s="6" t="s">
        <v>38</v>
      </c>
      <c r="D34" s="10" t="s">
        <v>682</v>
      </c>
      <c r="E34" s="8"/>
      <c r="F34" s="16">
        <v>27</v>
      </c>
      <c r="G34" s="99">
        <f t="shared" ref="G34" si="10">SUM(F34:F35)</f>
        <v>54</v>
      </c>
      <c r="H34" s="100" t="s">
        <v>138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 t="s">
        <v>32</v>
      </c>
      <c r="C35" s="6" t="s">
        <v>8</v>
      </c>
      <c r="D35" s="10" t="s">
        <v>684</v>
      </c>
      <c r="E35" s="8"/>
      <c r="F35" s="16">
        <v>27</v>
      </c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13</v>
      </c>
      <c r="B36" s="9" t="s">
        <v>32</v>
      </c>
      <c r="C36" s="6" t="s">
        <v>38</v>
      </c>
      <c r="D36" s="10" t="s">
        <v>682</v>
      </c>
      <c r="E36" s="8"/>
      <c r="F36" s="16">
        <v>27</v>
      </c>
      <c r="G36" s="99">
        <f t="shared" ref="G36" si="11">SUM(F36:F37)</f>
        <v>54</v>
      </c>
      <c r="H36" s="100" t="s">
        <v>139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 t="s">
        <v>32</v>
      </c>
      <c r="C37" s="6" t="s">
        <v>8</v>
      </c>
      <c r="D37" s="10" t="s">
        <v>684</v>
      </c>
      <c r="E37" s="8"/>
      <c r="F37" s="16">
        <v>27</v>
      </c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14</v>
      </c>
      <c r="B38" s="9" t="s">
        <v>32</v>
      </c>
      <c r="C38" s="6" t="s">
        <v>38</v>
      </c>
      <c r="D38" s="10" t="s">
        <v>682</v>
      </c>
      <c r="E38" s="8"/>
      <c r="F38" s="16">
        <v>27</v>
      </c>
      <c r="G38" s="99">
        <f t="shared" ref="G38" si="12">SUM(F38:F40)</f>
        <v>54</v>
      </c>
      <c r="H38" s="100" t="s">
        <v>140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7"/>
      <c r="B39" s="9" t="s">
        <v>32</v>
      </c>
      <c r="C39" s="6" t="s">
        <v>8</v>
      </c>
      <c r="D39" s="10" t="s">
        <v>684</v>
      </c>
      <c r="E39" s="8"/>
      <c r="F39" s="16">
        <v>7</v>
      </c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8"/>
      <c r="B40" s="9" t="s">
        <v>32</v>
      </c>
      <c r="C40" s="6" t="s">
        <v>13</v>
      </c>
      <c r="D40" s="10" t="s">
        <v>684</v>
      </c>
      <c r="E40" s="8"/>
      <c r="F40" s="16">
        <v>20</v>
      </c>
      <c r="G40" s="99"/>
      <c r="H40" s="100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7">
        <v>15</v>
      </c>
      <c r="B41" s="9" t="s">
        <v>32</v>
      </c>
      <c r="C41" s="6" t="s">
        <v>38</v>
      </c>
      <c r="D41" s="10" t="s">
        <v>682</v>
      </c>
      <c r="E41" s="8"/>
      <c r="F41" s="16">
        <v>2</v>
      </c>
      <c r="G41" s="99">
        <f t="shared" ref="G41" si="13">SUM(F41:F43)</f>
        <v>54</v>
      </c>
      <c r="H41" s="100" t="s">
        <v>141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/>
      <c r="B42" s="9" t="s">
        <v>32</v>
      </c>
      <c r="C42" s="6" t="s">
        <v>34</v>
      </c>
      <c r="D42" s="10" t="s">
        <v>682</v>
      </c>
      <c r="E42" s="8"/>
      <c r="F42" s="16">
        <v>25</v>
      </c>
      <c r="G42" s="99"/>
      <c r="H42" s="100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 t="s">
        <v>32</v>
      </c>
      <c r="C43" s="6" t="s">
        <v>13</v>
      </c>
      <c r="D43" s="10" t="s">
        <v>684</v>
      </c>
      <c r="E43" s="8"/>
      <c r="F43" s="16">
        <v>27</v>
      </c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117">
        <v>16</v>
      </c>
      <c r="B44" s="9" t="s">
        <v>32</v>
      </c>
      <c r="C44" s="6" t="s">
        <v>34</v>
      </c>
      <c r="D44" s="10" t="s">
        <v>682</v>
      </c>
      <c r="E44" s="8"/>
      <c r="F44" s="16">
        <v>26</v>
      </c>
      <c r="G44" s="119">
        <f>SUM(F44:F46)</f>
        <v>54</v>
      </c>
      <c r="H44" s="122" t="s">
        <v>142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118"/>
      <c r="B45" s="9" t="s">
        <v>32</v>
      </c>
      <c r="C45" s="6" t="s">
        <v>11</v>
      </c>
      <c r="D45" s="10" t="s">
        <v>684</v>
      </c>
      <c r="E45" s="8"/>
      <c r="F45" s="16">
        <v>13</v>
      </c>
      <c r="G45" s="120"/>
      <c r="H45" s="12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/>
      <c r="B46" s="9" t="s">
        <v>32</v>
      </c>
      <c r="C46" s="6" t="s">
        <v>13</v>
      </c>
      <c r="D46" s="10" t="s">
        <v>684</v>
      </c>
      <c r="E46" s="8"/>
      <c r="F46" s="16">
        <v>15</v>
      </c>
      <c r="G46" s="121"/>
      <c r="H46" s="124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7">
        <v>17</v>
      </c>
      <c r="B47" s="9" t="s">
        <v>32</v>
      </c>
      <c r="C47" s="6" t="s">
        <v>34</v>
      </c>
      <c r="D47" s="10" t="s">
        <v>682</v>
      </c>
      <c r="E47" s="8"/>
      <c r="F47" s="16">
        <v>26</v>
      </c>
      <c r="G47" s="99">
        <f t="shared" ref="G47" si="14">SUM(F47:F48)</f>
        <v>53</v>
      </c>
      <c r="H47" s="100" t="s">
        <v>143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8"/>
      <c r="B48" s="9" t="s">
        <v>32</v>
      </c>
      <c r="C48" s="6" t="s">
        <v>11</v>
      </c>
      <c r="D48" s="10" t="s">
        <v>684</v>
      </c>
      <c r="E48" s="8"/>
      <c r="F48" s="16">
        <v>27</v>
      </c>
      <c r="G48" s="99"/>
      <c r="H48" s="100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7">
        <v>18</v>
      </c>
      <c r="B49" s="9" t="s">
        <v>32</v>
      </c>
      <c r="C49" s="6" t="s">
        <v>34</v>
      </c>
      <c r="D49" s="10" t="s">
        <v>682</v>
      </c>
      <c r="E49" s="8"/>
      <c r="F49" s="16">
        <v>26</v>
      </c>
      <c r="G49" s="99">
        <f t="shared" ref="G49" si="15">SUM(F49:F51)</f>
        <v>54</v>
      </c>
      <c r="H49" s="100" t="s">
        <v>144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/>
      <c r="B50" s="9" t="s">
        <v>32</v>
      </c>
      <c r="C50" s="6" t="s">
        <v>11</v>
      </c>
      <c r="D50" s="10" t="s">
        <v>684</v>
      </c>
      <c r="E50" s="8"/>
      <c r="F50" s="16">
        <v>24</v>
      </c>
      <c r="G50" s="99"/>
      <c r="H50" s="100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8"/>
      <c r="B51" s="9" t="s">
        <v>32</v>
      </c>
      <c r="C51" s="6" t="s">
        <v>36</v>
      </c>
      <c r="D51" s="10" t="s">
        <v>684</v>
      </c>
      <c r="E51" s="8"/>
      <c r="F51" s="16">
        <v>4</v>
      </c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>
        <v>19</v>
      </c>
      <c r="B52" s="9" t="s">
        <v>32</v>
      </c>
      <c r="C52" s="6" t="s">
        <v>34</v>
      </c>
      <c r="D52" s="10" t="s">
        <v>682</v>
      </c>
      <c r="E52" s="8"/>
      <c r="F52" s="16">
        <v>26</v>
      </c>
      <c r="G52" s="99">
        <f t="shared" ref="G52" si="16">SUM(F52:F53)</f>
        <v>53</v>
      </c>
      <c r="H52" s="100" t="s">
        <v>145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 t="s">
        <v>32</v>
      </c>
      <c r="C53" s="6" t="s">
        <v>36</v>
      </c>
      <c r="D53" s="10" t="s">
        <v>684</v>
      </c>
      <c r="E53" s="8"/>
      <c r="F53" s="16">
        <v>27</v>
      </c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>
        <v>20</v>
      </c>
      <c r="B54" s="9" t="s">
        <v>32</v>
      </c>
      <c r="C54" s="6" t="s">
        <v>34</v>
      </c>
      <c r="D54" s="10" t="s">
        <v>682</v>
      </c>
      <c r="E54" s="8"/>
      <c r="F54" s="16">
        <v>8</v>
      </c>
      <c r="G54" s="99">
        <f t="shared" ref="G54" si="17">SUM(F54:F56)</f>
        <v>54</v>
      </c>
      <c r="H54" s="100" t="s">
        <v>146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7"/>
      <c r="B55" s="9" t="s">
        <v>32</v>
      </c>
      <c r="C55" s="6" t="s">
        <v>35</v>
      </c>
      <c r="D55" s="10" t="s">
        <v>682</v>
      </c>
      <c r="E55" s="8"/>
      <c r="F55" s="16">
        <v>19</v>
      </c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8"/>
      <c r="B56" s="9" t="s">
        <v>32</v>
      </c>
      <c r="C56" s="6" t="s">
        <v>36</v>
      </c>
      <c r="D56" s="10" t="s">
        <v>684</v>
      </c>
      <c r="E56" s="8"/>
      <c r="F56" s="16">
        <v>27</v>
      </c>
      <c r="G56" s="99"/>
      <c r="H56" s="100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7">
        <v>21</v>
      </c>
      <c r="B57" s="9" t="s">
        <v>32</v>
      </c>
      <c r="C57" s="6" t="s">
        <v>35</v>
      </c>
      <c r="D57" s="10" t="s">
        <v>682</v>
      </c>
      <c r="E57" s="8"/>
      <c r="F57" s="16">
        <v>27</v>
      </c>
      <c r="G57" s="99">
        <f t="shared" ref="G57" si="18">SUM(F57:F59)</f>
        <v>54</v>
      </c>
      <c r="H57" s="100" t="s">
        <v>147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/>
      <c r="B58" s="9" t="s">
        <v>32</v>
      </c>
      <c r="C58" s="6" t="s">
        <v>36</v>
      </c>
      <c r="D58" s="10" t="s">
        <v>684</v>
      </c>
      <c r="E58" s="8"/>
      <c r="F58" s="16">
        <v>6</v>
      </c>
      <c r="G58" s="99"/>
      <c r="H58" s="100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 t="s">
        <v>69</v>
      </c>
      <c r="C59" s="6" t="s">
        <v>93</v>
      </c>
      <c r="D59" s="10" t="s">
        <v>685</v>
      </c>
      <c r="E59" s="8"/>
      <c r="F59" s="16">
        <v>21</v>
      </c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22</v>
      </c>
      <c r="B60" s="9" t="s">
        <v>32</v>
      </c>
      <c r="C60" s="6" t="s">
        <v>35</v>
      </c>
      <c r="D60" s="10" t="s">
        <v>682</v>
      </c>
      <c r="E60" s="8"/>
      <c r="F60" s="16">
        <v>27</v>
      </c>
      <c r="G60" s="99">
        <f t="shared" ref="G60" si="19">SUM(F60:F61)</f>
        <v>54</v>
      </c>
      <c r="H60" s="100" t="s">
        <v>148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 t="s">
        <v>69</v>
      </c>
      <c r="C61" s="6" t="s">
        <v>93</v>
      </c>
      <c r="D61" s="10" t="s">
        <v>685</v>
      </c>
      <c r="E61" s="8"/>
      <c r="F61" s="16">
        <v>27</v>
      </c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23</v>
      </c>
      <c r="B62" s="9" t="s">
        <v>32</v>
      </c>
      <c r="C62" s="6" t="s">
        <v>35</v>
      </c>
      <c r="D62" s="10" t="s">
        <v>682</v>
      </c>
      <c r="E62" s="8"/>
      <c r="F62" s="16">
        <v>27</v>
      </c>
      <c r="G62" s="99">
        <f t="shared" ref="G62" si="20">SUM(F62:F63)</f>
        <v>54</v>
      </c>
      <c r="H62" s="100" t="s">
        <v>149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 t="s">
        <v>69</v>
      </c>
      <c r="C63" s="6" t="s">
        <v>93</v>
      </c>
      <c r="D63" s="10" t="s">
        <v>685</v>
      </c>
      <c r="E63" s="8"/>
      <c r="F63" s="16">
        <v>27</v>
      </c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24</v>
      </c>
      <c r="B64" s="9" t="s">
        <v>32</v>
      </c>
      <c r="C64" s="6" t="s">
        <v>35</v>
      </c>
      <c r="D64" s="10" t="s">
        <v>682</v>
      </c>
      <c r="E64" s="8"/>
      <c r="F64" s="16">
        <v>27</v>
      </c>
      <c r="G64" s="99">
        <f t="shared" ref="G64" si="21">SUM(F64:F65)</f>
        <v>54</v>
      </c>
      <c r="H64" s="100" t="s">
        <v>150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 t="s">
        <v>69</v>
      </c>
      <c r="C65" s="6" t="s">
        <v>93</v>
      </c>
      <c r="D65" s="10" t="s">
        <v>685</v>
      </c>
      <c r="E65" s="8"/>
      <c r="F65" s="16">
        <v>27</v>
      </c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25</v>
      </c>
      <c r="B66" s="9" t="s">
        <v>32</v>
      </c>
      <c r="C66" s="6" t="s">
        <v>35</v>
      </c>
      <c r="D66" s="10" t="s">
        <v>682</v>
      </c>
      <c r="E66" s="8"/>
      <c r="F66" s="16">
        <v>27</v>
      </c>
      <c r="G66" s="99">
        <f t="shared" ref="G66" si="22">SUM(F66:F67)</f>
        <v>54</v>
      </c>
      <c r="H66" s="100" t="s">
        <v>151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 t="s">
        <v>69</v>
      </c>
      <c r="C67" s="6" t="s">
        <v>93</v>
      </c>
      <c r="D67" s="10" t="s">
        <v>685</v>
      </c>
      <c r="E67" s="8"/>
      <c r="F67" s="16">
        <v>27</v>
      </c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26</v>
      </c>
      <c r="B68" s="9" t="s">
        <v>32</v>
      </c>
      <c r="C68" s="6" t="s">
        <v>35</v>
      </c>
      <c r="D68" s="10" t="s">
        <v>682</v>
      </c>
      <c r="E68" s="8"/>
      <c r="F68" s="16">
        <v>27</v>
      </c>
      <c r="G68" s="99">
        <f t="shared" ref="G68" si="23">SUM(F68:F69)</f>
        <v>54</v>
      </c>
      <c r="H68" s="100" t="s">
        <v>152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 t="s">
        <v>69</v>
      </c>
      <c r="C69" s="6" t="s">
        <v>93</v>
      </c>
      <c r="D69" s="10" t="s">
        <v>685</v>
      </c>
      <c r="E69" s="8"/>
      <c r="F69" s="16">
        <v>27</v>
      </c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27</v>
      </c>
      <c r="B70" s="9" t="s">
        <v>32</v>
      </c>
      <c r="C70" s="6" t="s">
        <v>35</v>
      </c>
      <c r="D70" s="10" t="s">
        <v>682</v>
      </c>
      <c r="E70" s="8"/>
      <c r="F70" s="16">
        <v>27</v>
      </c>
      <c r="G70" s="99">
        <f t="shared" ref="G70" si="24">SUM(F70:F71)</f>
        <v>54</v>
      </c>
      <c r="H70" s="100" t="s">
        <v>153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 t="s">
        <v>69</v>
      </c>
      <c r="C71" s="6" t="s">
        <v>93</v>
      </c>
      <c r="D71" s="10" t="s">
        <v>685</v>
      </c>
      <c r="E71" s="8"/>
      <c r="F71" s="16">
        <v>27</v>
      </c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28</v>
      </c>
      <c r="B72" s="9" t="s">
        <v>32</v>
      </c>
      <c r="C72" s="6" t="s">
        <v>35</v>
      </c>
      <c r="D72" s="10" t="s">
        <v>682</v>
      </c>
      <c r="E72" s="8"/>
      <c r="F72" s="16">
        <v>27</v>
      </c>
      <c r="G72" s="99">
        <f t="shared" ref="G72" si="25">SUM(F72:F74)</f>
        <v>52</v>
      </c>
      <c r="H72" s="100" t="s">
        <v>154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7"/>
      <c r="B73" s="9" t="s">
        <v>69</v>
      </c>
      <c r="C73" s="6" t="s">
        <v>93</v>
      </c>
      <c r="D73" s="10" t="s">
        <v>685</v>
      </c>
      <c r="E73" s="8"/>
      <c r="F73" s="16">
        <v>24</v>
      </c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8"/>
      <c r="B74" s="9" t="s">
        <v>69</v>
      </c>
      <c r="C74" s="6" t="s">
        <v>686</v>
      </c>
      <c r="D74" s="10" t="s">
        <v>685</v>
      </c>
      <c r="E74" s="8"/>
      <c r="F74" s="16">
        <v>1</v>
      </c>
      <c r="G74" s="99"/>
      <c r="H74" s="100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7">
        <v>29</v>
      </c>
      <c r="B75" s="9" t="s">
        <v>32</v>
      </c>
      <c r="C75" s="6" t="s">
        <v>35</v>
      </c>
      <c r="D75" s="10" t="s">
        <v>682</v>
      </c>
      <c r="E75" s="8"/>
      <c r="F75" s="16">
        <v>27</v>
      </c>
      <c r="G75" s="99">
        <f t="shared" ref="G75" si="26">SUM(F75:F76)</f>
        <v>54</v>
      </c>
      <c r="H75" s="100" t="s">
        <v>155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8"/>
      <c r="B76" s="9" t="s">
        <v>69</v>
      </c>
      <c r="C76" s="6" t="s">
        <v>94</v>
      </c>
      <c r="D76" s="10" t="s">
        <v>685</v>
      </c>
      <c r="E76" s="8"/>
      <c r="F76" s="16">
        <v>27</v>
      </c>
      <c r="G76" s="99"/>
      <c r="H76" s="100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7">
        <v>30</v>
      </c>
      <c r="B77" s="9" t="s">
        <v>32</v>
      </c>
      <c r="C77" s="6" t="s">
        <v>35</v>
      </c>
      <c r="D77" s="10" t="s">
        <v>682</v>
      </c>
      <c r="E77" s="8"/>
      <c r="F77" s="16">
        <v>11</v>
      </c>
      <c r="G77" s="99">
        <f t="shared" ref="G77" si="27">SUM(F77:F79)</f>
        <v>54</v>
      </c>
      <c r="H77" s="100" t="s">
        <v>156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/>
      <c r="B78" s="9" t="s">
        <v>32</v>
      </c>
      <c r="C78" s="6" t="s">
        <v>44</v>
      </c>
      <c r="D78" s="10" t="s">
        <v>682</v>
      </c>
      <c r="E78" s="8"/>
      <c r="F78" s="16">
        <v>16</v>
      </c>
      <c r="G78" s="99"/>
      <c r="H78" s="100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 t="s">
        <v>69</v>
      </c>
      <c r="C79" s="6" t="s">
        <v>94</v>
      </c>
      <c r="D79" s="10" t="s">
        <v>685</v>
      </c>
      <c r="E79" s="8"/>
      <c r="F79" s="16">
        <v>27</v>
      </c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31</v>
      </c>
      <c r="B80" s="9" t="s">
        <v>32</v>
      </c>
      <c r="C80" s="6" t="s">
        <v>44</v>
      </c>
      <c r="D80" s="10" t="s">
        <v>682</v>
      </c>
      <c r="E80" s="8"/>
      <c r="F80" s="16">
        <v>27</v>
      </c>
      <c r="G80" s="99">
        <f t="shared" ref="G80" si="28">SUM(F80:F82)</f>
        <v>54</v>
      </c>
      <c r="H80" s="100" t="s">
        <v>157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7"/>
      <c r="B81" s="9" t="s">
        <v>69</v>
      </c>
      <c r="C81" s="6" t="s">
        <v>94</v>
      </c>
      <c r="D81" s="10" t="s">
        <v>685</v>
      </c>
      <c r="E81" s="8"/>
      <c r="F81" s="16">
        <v>15</v>
      </c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8"/>
      <c r="B82" s="9" t="s">
        <v>32</v>
      </c>
      <c r="C82" s="6" t="s">
        <v>54</v>
      </c>
      <c r="D82" s="10" t="s">
        <v>687</v>
      </c>
      <c r="E82" s="8"/>
      <c r="F82" s="16">
        <v>12</v>
      </c>
      <c r="G82" s="99"/>
      <c r="H82" s="100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7">
        <v>32</v>
      </c>
      <c r="B83" s="9" t="s">
        <v>32</v>
      </c>
      <c r="C83" s="6" t="s">
        <v>44</v>
      </c>
      <c r="D83" s="10" t="s">
        <v>682</v>
      </c>
      <c r="E83" s="8"/>
      <c r="F83" s="16">
        <v>27</v>
      </c>
      <c r="G83" s="99">
        <f t="shared" ref="G83" si="29">SUM(F83:F84)</f>
        <v>54</v>
      </c>
      <c r="H83" s="100" t="s">
        <v>158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8"/>
      <c r="B84" s="9" t="s">
        <v>32</v>
      </c>
      <c r="C84" s="6" t="s">
        <v>54</v>
      </c>
      <c r="D84" s="10" t="s">
        <v>687</v>
      </c>
      <c r="E84" s="8"/>
      <c r="F84" s="16">
        <v>27</v>
      </c>
      <c r="G84" s="99"/>
      <c r="H84" s="100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7">
        <v>33</v>
      </c>
      <c r="B85" s="9" t="s">
        <v>32</v>
      </c>
      <c r="C85" s="6" t="s">
        <v>44</v>
      </c>
      <c r="D85" s="10" t="s">
        <v>682</v>
      </c>
      <c r="E85" s="8"/>
      <c r="F85" s="16">
        <v>27</v>
      </c>
      <c r="G85" s="99">
        <f t="shared" ref="G85" si="30">SUM(F85:F86)</f>
        <v>54</v>
      </c>
      <c r="H85" s="100" t="s">
        <v>159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8"/>
      <c r="B86" s="9" t="s">
        <v>32</v>
      </c>
      <c r="C86" s="6" t="s">
        <v>54</v>
      </c>
      <c r="D86" s="10" t="s">
        <v>687</v>
      </c>
      <c r="E86" s="8"/>
      <c r="F86" s="16">
        <v>27</v>
      </c>
      <c r="G86" s="99"/>
      <c r="H86" s="100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7">
        <v>34</v>
      </c>
      <c r="B87" s="9" t="s">
        <v>32</v>
      </c>
      <c r="C87" s="6" t="s">
        <v>44</v>
      </c>
      <c r="D87" s="10" t="s">
        <v>682</v>
      </c>
      <c r="E87" s="8"/>
      <c r="F87" s="16">
        <v>27</v>
      </c>
      <c r="G87" s="99">
        <f t="shared" ref="G87" si="31">SUM(F87:F88)</f>
        <v>54</v>
      </c>
      <c r="H87" s="100" t="s">
        <v>160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8"/>
      <c r="B88" s="9" t="s">
        <v>32</v>
      </c>
      <c r="C88" s="6" t="s">
        <v>54</v>
      </c>
      <c r="D88" s="10" t="s">
        <v>687</v>
      </c>
      <c r="E88" s="8"/>
      <c r="F88" s="16">
        <v>27</v>
      </c>
      <c r="G88" s="99"/>
      <c r="H88" s="100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7">
        <v>35</v>
      </c>
      <c r="B89" s="9" t="s">
        <v>32</v>
      </c>
      <c r="C89" s="6" t="s">
        <v>44</v>
      </c>
      <c r="D89" s="10" t="s">
        <v>682</v>
      </c>
      <c r="E89" s="8"/>
      <c r="F89" s="16">
        <v>27</v>
      </c>
      <c r="G89" s="99">
        <f t="shared" ref="G89" si="32">SUM(F89:F90)</f>
        <v>54</v>
      </c>
      <c r="H89" s="100" t="s">
        <v>161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8"/>
      <c r="B90" s="9" t="s">
        <v>32</v>
      </c>
      <c r="C90" s="6" t="s">
        <v>54</v>
      </c>
      <c r="D90" s="10" t="s">
        <v>687</v>
      </c>
      <c r="E90" s="8"/>
      <c r="F90" s="16">
        <v>27</v>
      </c>
      <c r="G90" s="99"/>
      <c r="H90" s="100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7">
        <v>36</v>
      </c>
      <c r="B91" s="9" t="s">
        <v>32</v>
      </c>
      <c r="C91" s="6" t="s">
        <v>44</v>
      </c>
      <c r="D91" s="10" t="s">
        <v>682</v>
      </c>
      <c r="E91" s="8"/>
      <c r="F91" s="16">
        <v>23</v>
      </c>
      <c r="G91" s="99">
        <f t="shared" ref="G91" si="33">SUM(F91:F93)</f>
        <v>50</v>
      </c>
      <c r="H91" s="100" t="s">
        <v>162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7"/>
      <c r="B92" s="9" t="s">
        <v>32</v>
      </c>
      <c r="C92" s="6" t="s">
        <v>54</v>
      </c>
      <c r="D92" s="10" t="s">
        <v>687</v>
      </c>
      <c r="E92" s="8"/>
      <c r="F92" s="16">
        <v>11</v>
      </c>
      <c r="G92" s="99"/>
      <c r="H92" s="100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8"/>
      <c r="B93" s="9" t="s">
        <v>32</v>
      </c>
      <c r="C93" s="6" t="s">
        <v>10</v>
      </c>
      <c r="D93" s="10" t="s">
        <v>687</v>
      </c>
      <c r="E93" s="8"/>
      <c r="F93" s="16">
        <v>16</v>
      </c>
      <c r="G93" s="99"/>
      <c r="H93" s="10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>
        <v>37</v>
      </c>
      <c r="B94" s="9" t="s">
        <v>32</v>
      </c>
      <c r="C94" s="6" t="s">
        <v>44</v>
      </c>
      <c r="D94" s="10" t="s">
        <v>682</v>
      </c>
      <c r="E94" s="8"/>
      <c r="F94" s="16">
        <v>27</v>
      </c>
      <c r="G94" s="99">
        <f>SUM(F94:F96)</f>
        <v>54</v>
      </c>
      <c r="H94" s="100" t="s">
        <v>163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7"/>
      <c r="B95" s="9" t="s">
        <v>32</v>
      </c>
      <c r="C95" s="6" t="s">
        <v>9</v>
      </c>
      <c r="D95" s="10" t="s">
        <v>687</v>
      </c>
      <c r="E95" s="8"/>
      <c r="F95" s="16">
        <v>11</v>
      </c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8"/>
      <c r="B96" s="9" t="s">
        <v>32</v>
      </c>
      <c r="C96" s="6" t="s">
        <v>10</v>
      </c>
      <c r="D96" s="10" t="s">
        <v>687</v>
      </c>
      <c r="E96" s="8"/>
      <c r="F96" s="16">
        <v>16</v>
      </c>
      <c r="G96" s="99"/>
      <c r="H96" s="100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7">
        <v>38</v>
      </c>
      <c r="B97" s="9" t="s">
        <v>32</v>
      </c>
      <c r="C97" s="6" t="s">
        <v>44</v>
      </c>
      <c r="D97" s="10" t="s">
        <v>682</v>
      </c>
      <c r="E97" s="8"/>
      <c r="F97" s="16">
        <v>27</v>
      </c>
      <c r="G97" s="99">
        <f t="shared" ref="G97:G112" si="34">SUM(F97:F98)</f>
        <v>54</v>
      </c>
      <c r="H97" s="100" t="s">
        <v>164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8"/>
      <c r="B98" s="9" t="s">
        <v>32</v>
      </c>
      <c r="C98" s="6" t="s">
        <v>9</v>
      </c>
      <c r="D98" s="10" t="s">
        <v>687</v>
      </c>
      <c r="E98" s="8"/>
      <c r="F98" s="16">
        <v>27</v>
      </c>
      <c r="G98" s="99"/>
      <c r="H98" s="100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7">
        <v>39</v>
      </c>
      <c r="B99" s="9" t="s">
        <v>32</v>
      </c>
      <c r="C99" s="6" t="s">
        <v>44</v>
      </c>
      <c r="D99" s="10" t="s">
        <v>682</v>
      </c>
      <c r="E99" s="8"/>
      <c r="F99" s="16">
        <v>27</v>
      </c>
      <c r="G99" s="99">
        <f t="shared" ref="G99:G110" si="35">SUM(F99:F100)</f>
        <v>54</v>
      </c>
      <c r="H99" s="100" t="s">
        <v>165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8"/>
      <c r="B100" s="9" t="s">
        <v>32</v>
      </c>
      <c r="C100" s="6" t="s">
        <v>9</v>
      </c>
      <c r="D100" s="10" t="s">
        <v>687</v>
      </c>
      <c r="E100" s="8"/>
      <c r="F100" s="16">
        <v>27</v>
      </c>
      <c r="G100" s="99"/>
      <c r="H100" s="100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7">
        <v>40</v>
      </c>
      <c r="B101" s="9" t="s">
        <v>32</v>
      </c>
      <c r="C101" s="6" t="s">
        <v>44</v>
      </c>
      <c r="D101" s="10" t="s">
        <v>682</v>
      </c>
      <c r="E101" s="8"/>
      <c r="F101" s="16">
        <v>27</v>
      </c>
      <c r="G101" s="99">
        <f>SUM(F101:F105)</f>
        <v>46</v>
      </c>
      <c r="H101" s="100" t="s">
        <v>166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/>
      <c r="B102" s="9" t="s">
        <v>32</v>
      </c>
      <c r="C102" s="6" t="s">
        <v>9</v>
      </c>
      <c r="D102" s="10" t="s">
        <v>687</v>
      </c>
      <c r="E102" s="8"/>
      <c r="F102" s="16">
        <v>1</v>
      </c>
      <c r="G102" s="99"/>
      <c r="H102" s="100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7"/>
      <c r="B103" s="29" t="s">
        <v>69</v>
      </c>
      <c r="C103" s="6" t="s">
        <v>35</v>
      </c>
      <c r="D103" s="6" t="s">
        <v>697</v>
      </c>
      <c r="E103" s="8"/>
      <c r="F103" s="16">
        <v>2</v>
      </c>
      <c r="G103" s="99"/>
      <c r="H103" s="100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/>
      <c r="B104" s="9" t="s">
        <v>69</v>
      </c>
      <c r="C104" s="6" t="s">
        <v>38</v>
      </c>
      <c r="D104" s="10" t="s">
        <v>688</v>
      </c>
      <c r="E104" s="8"/>
      <c r="F104" s="16">
        <v>14</v>
      </c>
      <c r="G104" s="99"/>
      <c r="H104" s="100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 t="s">
        <v>32</v>
      </c>
      <c r="C105" s="6" t="s">
        <v>13</v>
      </c>
      <c r="D105" s="10" t="s">
        <v>684</v>
      </c>
      <c r="E105" s="8"/>
      <c r="F105" s="16">
        <v>2</v>
      </c>
      <c r="G105" s="99"/>
      <c r="H105" s="100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41</v>
      </c>
      <c r="B106" s="9" t="s">
        <v>32</v>
      </c>
      <c r="C106" s="6" t="s">
        <v>44</v>
      </c>
      <c r="D106" s="10" t="s">
        <v>682</v>
      </c>
      <c r="E106" s="8"/>
      <c r="F106" s="16">
        <v>27</v>
      </c>
      <c r="G106" s="99">
        <f t="shared" si="35"/>
        <v>54</v>
      </c>
      <c r="H106" s="100" t="s">
        <v>167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 t="s">
        <v>69</v>
      </c>
      <c r="C107" s="6" t="s">
        <v>38</v>
      </c>
      <c r="D107" s="10" t="s">
        <v>688</v>
      </c>
      <c r="E107" s="8"/>
      <c r="F107" s="16">
        <v>27</v>
      </c>
      <c r="G107" s="99"/>
      <c r="H107" s="100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42</v>
      </c>
      <c r="B108" s="9" t="s">
        <v>32</v>
      </c>
      <c r="C108" s="6" t="s">
        <v>44</v>
      </c>
      <c r="D108" s="10" t="s">
        <v>682</v>
      </c>
      <c r="E108" s="8"/>
      <c r="F108" s="16">
        <v>27</v>
      </c>
      <c r="G108" s="99">
        <f t="shared" si="34"/>
        <v>54</v>
      </c>
      <c r="H108" s="100" t="s">
        <v>168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 t="s">
        <v>69</v>
      </c>
      <c r="C109" s="6" t="s">
        <v>38</v>
      </c>
      <c r="D109" s="10" t="s">
        <v>688</v>
      </c>
      <c r="E109" s="8"/>
      <c r="F109" s="16">
        <v>27</v>
      </c>
      <c r="G109" s="99"/>
      <c r="H109" s="100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43</v>
      </c>
      <c r="B110" s="9" t="s">
        <v>32</v>
      </c>
      <c r="C110" s="6" t="s">
        <v>44</v>
      </c>
      <c r="D110" s="10" t="s">
        <v>682</v>
      </c>
      <c r="E110" s="8"/>
      <c r="F110" s="16">
        <v>27</v>
      </c>
      <c r="G110" s="99">
        <f t="shared" si="35"/>
        <v>54</v>
      </c>
      <c r="H110" s="100" t="s">
        <v>169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8"/>
      <c r="B111" s="9" t="s">
        <v>69</v>
      </c>
      <c r="C111" s="6" t="s">
        <v>38</v>
      </c>
      <c r="D111" s="10" t="s">
        <v>688</v>
      </c>
      <c r="E111" s="8"/>
      <c r="F111" s="16">
        <v>27</v>
      </c>
      <c r="G111" s="99"/>
      <c r="H111" s="100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>
        <v>44</v>
      </c>
      <c r="B112" s="9" t="s">
        <v>32</v>
      </c>
      <c r="C112" s="6" t="s">
        <v>44</v>
      </c>
      <c r="D112" s="10" t="s">
        <v>682</v>
      </c>
      <c r="E112" s="8"/>
      <c r="F112" s="16">
        <v>27</v>
      </c>
      <c r="G112" s="99">
        <f t="shared" si="34"/>
        <v>54</v>
      </c>
      <c r="H112" s="100" t="s">
        <v>170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8"/>
      <c r="B113" s="9" t="s">
        <v>69</v>
      </c>
      <c r="C113" s="6" t="s">
        <v>38</v>
      </c>
      <c r="D113" s="10" t="s">
        <v>688</v>
      </c>
      <c r="E113" s="8"/>
      <c r="F113" s="16">
        <v>27</v>
      </c>
      <c r="G113" s="99"/>
      <c r="H113" s="100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>
        <v>45</v>
      </c>
      <c r="B114" s="9" t="s">
        <v>32</v>
      </c>
      <c r="C114" s="6" t="s">
        <v>44</v>
      </c>
      <c r="D114" s="10" t="s">
        <v>682</v>
      </c>
      <c r="E114" s="8"/>
      <c r="F114" s="16">
        <v>24</v>
      </c>
      <c r="G114" s="99">
        <f>SUM(F114:F116)</f>
        <v>54</v>
      </c>
      <c r="H114" s="100" t="s">
        <v>172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7"/>
      <c r="B115" s="9" t="s">
        <v>32</v>
      </c>
      <c r="C115" s="6" t="s">
        <v>95</v>
      </c>
      <c r="D115" s="10" t="s">
        <v>682</v>
      </c>
      <c r="E115" s="8"/>
      <c r="F115" s="16">
        <v>3</v>
      </c>
      <c r="G115" s="99"/>
      <c r="H115" s="100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8"/>
      <c r="B116" s="9" t="s">
        <v>69</v>
      </c>
      <c r="C116" s="6" t="s">
        <v>38</v>
      </c>
      <c r="D116" s="10" t="s">
        <v>688</v>
      </c>
      <c r="E116" s="8"/>
      <c r="F116" s="16">
        <v>27</v>
      </c>
      <c r="G116" s="99"/>
      <c r="H116" s="100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7">
        <v>46</v>
      </c>
      <c r="B117" s="9" t="s">
        <v>32</v>
      </c>
      <c r="C117" s="6" t="s">
        <v>95</v>
      </c>
      <c r="D117" s="10" t="s">
        <v>682</v>
      </c>
      <c r="E117" s="8"/>
      <c r="F117" s="16">
        <v>27</v>
      </c>
      <c r="G117" s="99">
        <f t="shared" ref="G117" si="36">SUM(F117:F118)</f>
        <v>54</v>
      </c>
      <c r="H117" s="122" t="s">
        <v>170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8"/>
      <c r="B118" s="9" t="s">
        <v>69</v>
      </c>
      <c r="C118" s="6" t="s">
        <v>38</v>
      </c>
      <c r="D118" s="10" t="s">
        <v>688</v>
      </c>
      <c r="E118" s="8"/>
      <c r="F118" s="16">
        <v>27</v>
      </c>
      <c r="G118" s="99"/>
      <c r="H118" s="124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7">
        <v>47</v>
      </c>
      <c r="B119" s="9" t="s">
        <v>32</v>
      </c>
      <c r="C119" s="6" t="s">
        <v>95</v>
      </c>
      <c r="D119" s="10" t="s">
        <v>682</v>
      </c>
      <c r="E119" s="8"/>
      <c r="F119" s="16">
        <v>27</v>
      </c>
      <c r="G119" s="99">
        <f t="shared" ref="G119" si="37">SUM(F119:F120)</f>
        <v>54</v>
      </c>
      <c r="H119" s="122" t="s">
        <v>169</v>
      </c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8"/>
      <c r="B120" s="9" t="s">
        <v>69</v>
      </c>
      <c r="C120" s="6" t="s">
        <v>38</v>
      </c>
      <c r="D120" s="10" t="s">
        <v>688</v>
      </c>
      <c r="E120" s="8"/>
      <c r="F120" s="16">
        <v>27</v>
      </c>
      <c r="G120" s="99"/>
      <c r="H120" s="124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7">
        <v>48</v>
      </c>
      <c r="B121" s="9" t="s">
        <v>32</v>
      </c>
      <c r="C121" s="6" t="s">
        <v>95</v>
      </c>
      <c r="D121" s="10" t="s">
        <v>682</v>
      </c>
      <c r="E121" s="8"/>
      <c r="F121" s="16">
        <v>9</v>
      </c>
      <c r="G121" s="99">
        <f t="shared" ref="G121" si="38">SUM(F121:F125)</f>
        <v>54</v>
      </c>
      <c r="H121" s="122" t="s">
        <v>670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/>
      <c r="B122" s="9" t="s">
        <v>32</v>
      </c>
      <c r="C122" s="6" t="s">
        <v>93</v>
      </c>
      <c r="D122" s="6" t="s">
        <v>683</v>
      </c>
      <c r="E122" s="8"/>
      <c r="F122" s="16">
        <v>18</v>
      </c>
      <c r="G122" s="99"/>
      <c r="H122" s="12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7"/>
      <c r="B123" s="9" t="s">
        <v>69</v>
      </c>
      <c r="C123" s="6" t="s">
        <v>38</v>
      </c>
      <c r="D123" s="10" t="s">
        <v>688</v>
      </c>
      <c r="E123" s="8"/>
      <c r="F123" s="16">
        <v>2</v>
      </c>
      <c r="G123" s="99"/>
      <c r="H123" s="12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/>
      <c r="B124" s="9" t="s">
        <v>69</v>
      </c>
      <c r="C124" s="6" t="s">
        <v>54</v>
      </c>
      <c r="D124" s="10" t="s">
        <v>689</v>
      </c>
      <c r="E124" s="8"/>
      <c r="F124" s="16">
        <v>24</v>
      </c>
      <c r="G124" s="99"/>
      <c r="H124" s="12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 t="s">
        <v>69</v>
      </c>
      <c r="C125" s="6" t="s">
        <v>468</v>
      </c>
      <c r="D125" s="10" t="s">
        <v>688</v>
      </c>
      <c r="E125" s="8"/>
      <c r="F125" s="16">
        <v>1</v>
      </c>
      <c r="G125" s="99"/>
      <c r="H125" s="12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49</v>
      </c>
      <c r="B126" s="9" t="s">
        <v>32</v>
      </c>
      <c r="C126" s="6" t="s">
        <v>93</v>
      </c>
      <c r="D126" s="6" t="s">
        <v>683</v>
      </c>
      <c r="E126" s="8"/>
      <c r="F126" s="16">
        <v>27</v>
      </c>
      <c r="G126" s="99">
        <f t="shared" ref="G126" si="39">SUM(F126:F127)</f>
        <v>54</v>
      </c>
      <c r="H126" s="122" t="s">
        <v>167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 t="s">
        <v>69</v>
      </c>
      <c r="C127" s="6" t="s">
        <v>54</v>
      </c>
      <c r="D127" s="10" t="s">
        <v>689</v>
      </c>
      <c r="E127" s="8"/>
      <c r="F127" s="16">
        <v>27</v>
      </c>
      <c r="G127" s="99"/>
      <c r="H127" s="124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97">
        <v>50</v>
      </c>
      <c r="B128" s="9" t="s">
        <v>32</v>
      </c>
      <c r="C128" s="6" t="s">
        <v>93</v>
      </c>
      <c r="D128" s="6" t="s">
        <v>683</v>
      </c>
      <c r="E128" s="8"/>
      <c r="F128" s="16">
        <v>27</v>
      </c>
      <c r="G128" s="99">
        <f t="shared" ref="G128:G144" si="40">SUM(F128:F129)</f>
        <v>54</v>
      </c>
      <c r="H128" s="122" t="s">
        <v>166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6" x14ac:dyDescent="0.25">
      <c r="A129" s="98"/>
      <c r="B129" s="9" t="s">
        <v>69</v>
      </c>
      <c r="C129" s="6" t="s">
        <v>54</v>
      </c>
      <c r="D129" s="10" t="s">
        <v>689</v>
      </c>
      <c r="E129" s="8"/>
      <c r="F129" s="16">
        <v>27</v>
      </c>
      <c r="G129" s="99"/>
      <c r="H129" s="124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6" x14ac:dyDescent="0.25">
      <c r="A130" s="97">
        <v>51</v>
      </c>
      <c r="B130" s="9" t="s">
        <v>32</v>
      </c>
      <c r="C130" s="6" t="s">
        <v>93</v>
      </c>
      <c r="D130" s="6" t="s">
        <v>683</v>
      </c>
      <c r="E130" s="8"/>
      <c r="F130" s="16">
        <v>27</v>
      </c>
      <c r="G130" s="99">
        <f t="shared" ref="G130:G146" si="41">SUM(F130:F131)</f>
        <v>54</v>
      </c>
      <c r="H130" s="122" t="s">
        <v>165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6" x14ac:dyDescent="0.25">
      <c r="A131" s="98"/>
      <c r="B131" s="9" t="s">
        <v>69</v>
      </c>
      <c r="C131" s="6" t="s">
        <v>54</v>
      </c>
      <c r="D131" s="10" t="s">
        <v>689</v>
      </c>
      <c r="E131" s="8"/>
      <c r="F131" s="16">
        <v>27</v>
      </c>
      <c r="G131" s="99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6" x14ac:dyDescent="0.25">
      <c r="A132" s="97">
        <v>52</v>
      </c>
      <c r="B132" s="9" t="s">
        <v>32</v>
      </c>
      <c r="C132" s="6" t="s">
        <v>93</v>
      </c>
      <c r="D132" s="6" t="s">
        <v>683</v>
      </c>
      <c r="E132" s="8"/>
      <c r="F132" s="16">
        <v>27</v>
      </c>
      <c r="G132" s="99">
        <f t="shared" si="40"/>
        <v>54</v>
      </c>
      <c r="H132" s="122" t="s">
        <v>671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6" x14ac:dyDescent="0.25">
      <c r="A133" s="98"/>
      <c r="B133" s="9" t="s">
        <v>69</v>
      </c>
      <c r="C133" s="6" t="s">
        <v>54</v>
      </c>
      <c r="D133" s="10" t="s">
        <v>689</v>
      </c>
      <c r="E133" s="8"/>
      <c r="F133" s="16">
        <v>27</v>
      </c>
      <c r="G133" s="99"/>
      <c r="H133" s="124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6" x14ac:dyDescent="0.25">
      <c r="A134" s="97">
        <v>53</v>
      </c>
      <c r="B134" s="9" t="s">
        <v>32</v>
      </c>
      <c r="C134" s="6" t="s">
        <v>93</v>
      </c>
      <c r="D134" s="6" t="s">
        <v>683</v>
      </c>
      <c r="E134" s="8"/>
      <c r="F134" s="16">
        <v>27</v>
      </c>
      <c r="G134" s="99">
        <f>SUM(F134:F136)</f>
        <v>54</v>
      </c>
      <c r="H134" s="122" t="s">
        <v>163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15.6" x14ac:dyDescent="0.25">
      <c r="A135" s="97"/>
      <c r="B135" s="9" t="s">
        <v>69</v>
      </c>
      <c r="C135" s="6" t="s">
        <v>54</v>
      </c>
      <c r="D135" s="10" t="s">
        <v>689</v>
      </c>
      <c r="E135" s="8"/>
      <c r="F135" s="16">
        <v>2</v>
      </c>
      <c r="G135" s="99"/>
      <c r="H135" s="12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15.6" x14ac:dyDescent="0.25">
      <c r="A136" s="98"/>
      <c r="B136" s="9" t="s">
        <v>69</v>
      </c>
      <c r="C136" s="6" t="s">
        <v>690</v>
      </c>
      <c r="D136" s="10" t="s">
        <v>689</v>
      </c>
      <c r="E136" s="8"/>
      <c r="F136" s="16">
        <v>25</v>
      </c>
      <c r="G136" s="99"/>
      <c r="H136" s="124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15.6" x14ac:dyDescent="0.25">
      <c r="A137" s="97">
        <v>54</v>
      </c>
      <c r="B137" s="9" t="s">
        <v>32</v>
      </c>
      <c r="C137" s="6" t="s">
        <v>93</v>
      </c>
      <c r="D137" s="6" t="s">
        <v>683</v>
      </c>
      <c r="E137" s="8"/>
      <c r="F137" s="16">
        <v>27</v>
      </c>
      <c r="G137" s="99">
        <f>SUM(F137:F139)</f>
        <v>54</v>
      </c>
      <c r="H137" s="122" t="s">
        <v>672</v>
      </c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15.6" x14ac:dyDescent="0.25">
      <c r="A138" s="97"/>
      <c r="B138" s="9" t="s">
        <v>69</v>
      </c>
      <c r="C138" s="6" t="s">
        <v>35</v>
      </c>
      <c r="D138" s="6" t="s">
        <v>692</v>
      </c>
      <c r="E138" s="8"/>
      <c r="F138" s="16">
        <v>19</v>
      </c>
      <c r="G138" s="99"/>
      <c r="H138" s="12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15.6" x14ac:dyDescent="0.25">
      <c r="A139" s="98"/>
      <c r="B139" s="9" t="s">
        <v>69</v>
      </c>
      <c r="C139" s="6" t="s">
        <v>690</v>
      </c>
      <c r="D139" s="10" t="s">
        <v>689</v>
      </c>
      <c r="E139" s="8"/>
      <c r="F139" s="16">
        <v>8</v>
      </c>
      <c r="G139" s="99"/>
      <c r="H139" s="124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15.6" x14ac:dyDescent="0.25">
      <c r="A140" s="97">
        <v>55</v>
      </c>
      <c r="B140" s="9" t="s">
        <v>32</v>
      </c>
      <c r="C140" s="6" t="s">
        <v>93</v>
      </c>
      <c r="D140" s="6" t="s">
        <v>683</v>
      </c>
      <c r="E140" s="8"/>
      <c r="F140" s="16">
        <v>19</v>
      </c>
      <c r="G140" s="99">
        <f>SUM(F140:F143)</f>
        <v>54</v>
      </c>
      <c r="H140" s="122" t="s">
        <v>673</v>
      </c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15.6" x14ac:dyDescent="0.25">
      <c r="A141" s="97"/>
      <c r="B141" s="9" t="s">
        <v>32</v>
      </c>
      <c r="C141" s="6" t="s">
        <v>12</v>
      </c>
      <c r="D141" s="6" t="s">
        <v>683</v>
      </c>
      <c r="E141" s="8"/>
      <c r="F141" s="16">
        <v>8</v>
      </c>
      <c r="G141" s="99"/>
      <c r="H141" s="12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15.6" x14ac:dyDescent="0.25">
      <c r="A142" s="97"/>
      <c r="B142" s="9" t="s">
        <v>69</v>
      </c>
      <c r="C142" s="6" t="s">
        <v>35</v>
      </c>
      <c r="D142" s="6" t="s">
        <v>692</v>
      </c>
      <c r="E142" s="8"/>
      <c r="F142" s="16">
        <v>23</v>
      </c>
      <c r="G142" s="99"/>
      <c r="H142" s="12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15.6" x14ac:dyDescent="0.25">
      <c r="A143" s="98"/>
      <c r="B143" s="9" t="s">
        <v>69</v>
      </c>
      <c r="C143" s="6" t="s">
        <v>691</v>
      </c>
      <c r="D143" s="10" t="s">
        <v>689</v>
      </c>
      <c r="E143" s="8"/>
      <c r="F143" s="16">
        <v>4</v>
      </c>
      <c r="G143" s="99"/>
      <c r="H143" s="124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15.6" x14ac:dyDescent="0.25">
      <c r="A144" s="97">
        <v>56</v>
      </c>
      <c r="B144" s="9" t="s">
        <v>32</v>
      </c>
      <c r="C144" s="6" t="s">
        <v>12</v>
      </c>
      <c r="D144" s="6" t="s">
        <v>683</v>
      </c>
      <c r="E144" s="8"/>
      <c r="F144" s="16">
        <v>27</v>
      </c>
      <c r="G144" s="99">
        <f t="shared" si="40"/>
        <v>54</v>
      </c>
      <c r="H144" s="122" t="s">
        <v>674</v>
      </c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15.6" x14ac:dyDescent="0.25">
      <c r="A145" s="98"/>
      <c r="B145" s="9" t="s">
        <v>69</v>
      </c>
      <c r="C145" s="6" t="s">
        <v>35</v>
      </c>
      <c r="D145" s="6" t="s">
        <v>692</v>
      </c>
      <c r="E145" s="8"/>
      <c r="F145" s="16">
        <v>27</v>
      </c>
      <c r="G145" s="99"/>
      <c r="H145" s="124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15.6" x14ac:dyDescent="0.25">
      <c r="A146" s="97">
        <v>57</v>
      </c>
      <c r="B146" s="9" t="s">
        <v>32</v>
      </c>
      <c r="C146" s="6" t="s">
        <v>12</v>
      </c>
      <c r="D146" s="6" t="s">
        <v>683</v>
      </c>
      <c r="E146" s="8"/>
      <c r="F146" s="16">
        <v>27</v>
      </c>
      <c r="G146" s="99">
        <f t="shared" si="41"/>
        <v>54</v>
      </c>
      <c r="H146" s="122" t="s">
        <v>675</v>
      </c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15.6" x14ac:dyDescent="0.25">
      <c r="A147" s="98"/>
      <c r="B147" s="9" t="s">
        <v>69</v>
      </c>
      <c r="C147" s="6" t="s">
        <v>35</v>
      </c>
      <c r="D147" s="6" t="s">
        <v>692</v>
      </c>
      <c r="E147" s="8"/>
      <c r="F147" s="16">
        <v>27</v>
      </c>
      <c r="G147" s="99"/>
      <c r="H147" s="124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15.6" x14ac:dyDescent="0.25">
      <c r="A148" s="97">
        <v>58</v>
      </c>
      <c r="B148" s="9" t="s">
        <v>32</v>
      </c>
      <c r="C148" s="6" t="s">
        <v>12</v>
      </c>
      <c r="D148" s="6" t="s">
        <v>683</v>
      </c>
      <c r="E148" s="8"/>
      <c r="F148" s="16">
        <v>1</v>
      </c>
      <c r="G148" s="99">
        <f>SUM(F148:F150)</f>
        <v>54</v>
      </c>
      <c r="H148" s="122" t="s">
        <v>676</v>
      </c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15.6" x14ac:dyDescent="0.25">
      <c r="A149" s="97"/>
      <c r="B149" s="9" t="s">
        <v>32</v>
      </c>
      <c r="C149" s="6" t="s">
        <v>94</v>
      </c>
      <c r="D149" s="6" t="s">
        <v>683</v>
      </c>
      <c r="E149" s="8"/>
      <c r="F149" s="16">
        <v>26</v>
      </c>
      <c r="G149" s="99"/>
      <c r="H149" s="12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15.6" x14ac:dyDescent="0.25">
      <c r="A150" s="98"/>
      <c r="B150" s="9" t="s">
        <v>69</v>
      </c>
      <c r="C150" s="6" t="s">
        <v>35</v>
      </c>
      <c r="D150" s="6" t="s">
        <v>692</v>
      </c>
      <c r="E150" s="8"/>
      <c r="F150" s="16">
        <v>27</v>
      </c>
      <c r="G150" s="99"/>
      <c r="H150" s="124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15.6" x14ac:dyDescent="0.25">
      <c r="A151" s="97">
        <v>59</v>
      </c>
      <c r="B151" s="9" t="s">
        <v>32</v>
      </c>
      <c r="C151" s="6" t="s">
        <v>94</v>
      </c>
      <c r="D151" s="6" t="s">
        <v>683</v>
      </c>
      <c r="E151" s="8"/>
      <c r="F151" s="16">
        <v>27</v>
      </c>
      <c r="G151" s="99">
        <f>SUM(F151:F154)</f>
        <v>54</v>
      </c>
      <c r="H151" s="122" t="s">
        <v>677</v>
      </c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15.6" x14ac:dyDescent="0.25">
      <c r="A152" s="97"/>
      <c r="B152" s="9" t="s">
        <v>69</v>
      </c>
      <c r="C152" s="6" t="s">
        <v>35</v>
      </c>
      <c r="D152" s="6" t="s">
        <v>692</v>
      </c>
      <c r="E152" s="8"/>
      <c r="F152" s="16">
        <v>12</v>
      </c>
      <c r="G152" s="99"/>
      <c r="H152" s="12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15.6" x14ac:dyDescent="0.25">
      <c r="A153" s="97"/>
      <c r="B153" s="9" t="s">
        <v>20</v>
      </c>
      <c r="C153" s="6" t="s">
        <v>34</v>
      </c>
      <c r="D153" s="6" t="s">
        <v>693</v>
      </c>
      <c r="E153" s="8"/>
      <c r="F153" s="16">
        <v>13</v>
      </c>
      <c r="G153" s="99"/>
      <c r="H153" s="12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15.6" x14ac:dyDescent="0.25">
      <c r="A154" s="98"/>
      <c r="B154" s="9" t="s">
        <v>69</v>
      </c>
      <c r="C154" s="6" t="s">
        <v>431</v>
      </c>
      <c r="D154" s="6" t="s">
        <v>692</v>
      </c>
      <c r="E154" s="8"/>
      <c r="F154" s="16">
        <v>2</v>
      </c>
      <c r="G154" s="99"/>
      <c r="H154" s="124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15.6" x14ac:dyDescent="0.25">
      <c r="A155" s="97">
        <v>60</v>
      </c>
      <c r="B155" s="9" t="s">
        <v>32</v>
      </c>
      <c r="C155" s="6" t="s">
        <v>94</v>
      </c>
      <c r="D155" s="6" t="s">
        <v>683</v>
      </c>
      <c r="E155" s="8"/>
      <c r="F155" s="16">
        <v>27</v>
      </c>
      <c r="G155" s="99">
        <f t="shared" ref="G155:G159" si="42">SUM(F155:F156)</f>
        <v>54</v>
      </c>
      <c r="H155" s="122" t="s">
        <v>678</v>
      </c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15.6" x14ac:dyDescent="0.25">
      <c r="A156" s="98"/>
      <c r="B156" s="29" t="s">
        <v>32</v>
      </c>
      <c r="C156" s="6" t="s">
        <v>120</v>
      </c>
      <c r="D156" s="6" t="s">
        <v>694</v>
      </c>
      <c r="E156" s="8"/>
      <c r="F156" s="16">
        <v>27</v>
      </c>
      <c r="G156" s="99"/>
      <c r="H156" s="124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15.6" x14ac:dyDescent="0.25">
      <c r="A157" s="97">
        <v>61</v>
      </c>
      <c r="B157" s="29" t="s">
        <v>32</v>
      </c>
      <c r="C157" s="6" t="s">
        <v>94</v>
      </c>
      <c r="D157" s="6" t="s">
        <v>683</v>
      </c>
      <c r="E157" s="8"/>
      <c r="F157" s="16">
        <v>27</v>
      </c>
      <c r="G157" s="99">
        <f t="shared" ref="G157" si="43">SUM(F157:F158)</f>
        <v>54</v>
      </c>
      <c r="H157" s="122" t="s">
        <v>679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15.6" x14ac:dyDescent="0.25">
      <c r="A158" s="98"/>
      <c r="B158" s="29" t="s">
        <v>32</v>
      </c>
      <c r="C158" s="6" t="s">
        <v>120</v>
      </c>
      <c r="D158" s="6" t="s">
        <v>694</v>
      </c>
      <c r="E158" s="8"/>
      <c r="F158" s="16">
        <v>27</v>
      </c>
      <c r="G158" s="99"/>
      <c r="H158" s="124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15.6" x14ac:dyDescent="0.25">
      <c r="A159" s="97">
        <v>62</v>
      </c>
      <c r="B159" s="29" t="s">
        <v>32</v>
      </c>
      <c r="C159" s="6" t="s">
        <v>94</v>
      </c>
      <c r="D159" s="6" t="s">
        <v>683</v>
      </c>
      <c r="E159" s="8"/>
      <c r="F159" s="16">
        <v>27</v>
      </c>
      <c r="G159" s="99">
        <f t="shared" si="42"/>
        <v>54</v>
      </c>
      <c r="H159" s="122" t="s">
        <v>680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15.6" x14ac:dyDescent="0.25">
      <c r="A160" s="98"/>
      <c r="B160" s="29" t="s">
        <v>20</v>
      </c>
      <c r="C160" s="6" t="s">
        <v>34</v>
      </c>
      <c r="D160" s="6" t="s">
        <v>693</v>
      </c>
      <c r="E160" s="8"/>
      <c r="F160" s="16">
        <v>27</v>
      </c>
      <c r="G160" s="99"/>
      <c r="H160" s="124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15.6" x14ac:dyDescent="0.25">
      <c r="A161" s="97">
        <v>63</v>
      </c>
      <c r="B161" s="29" t="s">
        <v>32</v>
      </c>
      <c r="C161" s="6" t="s">
        <v>94</v>
      </c>
      <c r="D161" s="6" t="s">
        <v>683</v>
      </c>
      <c r="E161" s="8"/>
      <c r="F161" s="16">
        <v>27</v>
      </c>
      <c r="G161" s="99">
        <f>SUM(F161:F163)</f>
        <v>54</v>
      </c>
      <c r="H161" s="122" t="s">
        <v>681</v>
      </c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15.6" x14ac:dyDescent="0.25">
      <c r="A162" s="97"/>
      <c r="B162" s="29" t="s">
        <v>69</v>
      </c>
      <c r="C162" s="6" t="s">
        <v>35</v>
      </c>
      <c r="D162" s="6" t="s">
        <v>695</v>
      </c>
      <c r="E162" s="8"/>
      <c r="F162" s="16">
        <v>18</v>
      </c>
      <c r="G162" s="99"/>
      <c r="H162" s="12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15.6" x14ac:dyDescent="0.25">
      <c r="A163" s="98"/>
      <c r="B163" s="29" t="s">
        <v>32</v>
      </c>
      <c r="C163" s="6" t="s">
        <v>120</v>
      </c>
      <c r="D163" s="6" t="s">
        <v>694</v>
      </c>
      <c r="E163" s="8"/>
      <c r="F163" s="16">
        <v>9</v>
      </c>
      <c r="G163" s="99"/>
      <c r="H163" s="124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15.6" x14ac:dyDescent="0.25">
      <c r="A164" s="97">
        <v>64</v>
      </c>
      <c r="B164" s="29" t="s">
        <v>69</v>
      </c>
      <c r="C164" s="6" t="s">
        <v>35</v>
      </c>
      <c r="D164" s="6" t="s">
        <v>695</v>
      </c>
      <c r="E164" s="8"/>
      <c r="F164" s="16">
        <v>27</v>
      </c>
      <c r="G164" s="99">
        <f t="shared" ref="G164" si="44">SUM(F164:F165)</f>
        <v>54</v>
      </c>
      <c r="H164" s="122" t="s">
        <v>703</v>
      </c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15.6" x14ac:dyDescent="0.25">
      <c r="A165" s="98"/>
      <c r="B165" s="29" t="s">
        <v>69</v>
      </c>
      <c r="C165" s="6" t="s">
        <v>35</v>
      </c>
      <c r="D165" s="6" t="s">
        <v>697</v>
      </c>
      <c r="E165" s="8"/>
      <c r="F165" s="16">
        <v>27</v>
      </c>
      <c r="G165" s="99"/>
      <c r="H165" s="124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15.6" x14ac:dyDescent="0.25">
      <c r="A166" s="97">
        <v>65</v>
      </c>
      <c r="B166" s="29" t="s">
        <v>69</v>
      </c>
      <c r="C166" s="6" t="s">
        <v>35</v>
      </c>
      <c r="D166" s="6" t="s">
        <v>695</v>
      </c>
      <c r="E166" s="8"/>
      <c r="F166" s="16">
        <v>21</v>
      </c>
      <c r="G166" s="99">
        <f>SUM(F166:F168)</f>
        <v>52</v>
      </c>
      <c r="H166" s="122" t="s">
        <v>702</v>
      </c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15.6" x14ac:dyDescent="0.25">
      <c r="A167" s="97"/>
      <c r="B167" s="29" t="s">
        <v>69</v>
      </c>
      <c r="C167" s="6" t="s">
        <v>696</v>
      </c>
      <c r="D167" s="6" t="s">
        <v>695</v>
      </c>
      <c r="E167" s="8"/>
      <c r="F167" s="16">
        <v>4</v>
      </c>
      <c r="G167" s="99"/>
      <c r="H167" s="12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15.6" x14ac:dyDescent="0.25">
      <c r="A168" s="98"/>
      <c r="B168" s="29" t="s">
        <v>69</v>
      </c>
      <c r="C168" s="6" t="s">
        <v>35</v>
      </c>
      <c r="D168" s="6" t="s">
        <v>697</v>
      </c>
      <c r="E168" s="8"/>
      <c r="F168" s="16">
        <v>27</v>
      </c>
      <c r="G168" s="99"/>
      <c r="H168" s="124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15.6" x14ac:dyDescent="0.25">
      <c r="A169" s="97">
        <v>66</v>
      </c>
      <c r="B169" s="29" t="s">
        <v>69</v>
      </c>
      <c r="C169" s="6" t="s">
        <v>696</v>
      </c>
      <c r="D169" s="6" t="s">
        <v>695</v>
      </c>
      <c r="E169" s="8"/>
      <c r="F169" s="16">
        <v>16</v>
      </c>
      <c r="G169" s="99">
        <f>SUM(F169:F172)</f>
        <v>54</v>
      </c>
      <c r="H169" s="122" t="s">
        <v>701</v>
      </c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15.6" x14ac:dyDescent="0.25">
      <c r="A170" s="97"/>
      <c r="B170" s="29" t="s">
        <v>69</v>
      </c>
      <c r="C170" s="6" t="s">
        <v>431</v>
      </c>
      <c r="D170" s="6" t="s">
        <v>697</v>
      </c>
      <c r="E170" s="8"/>
      <c r="F170" s="16">
        <v>6</v>
      </c>
      <c r="G170" s="99"/>
      <c r="H170" s="12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15.6" x14ac:dyDescent="0.25">
      <c r="A171" s="97"/>
      <c r="B171" s="29" t="s">
        <v>69</v>
      </c>
      <c r="C171" s="6" t="s">
        <v>33</v>
      </c>
      <c r="D171" s="6" t="s">
        <v>698</v>
      </c>
      <c r="E171" s="8"/>
      <c r="F171" s="16">
        <v>15</v>
      </c>
      <c r="G171" s="99"/>
      <c r="H171" s="123"/>
      <c r="I171" s="13"/>
      <c r="J171" s="13"/>
      <c r="K171" s="13"/>
      <c r="L171" s="13"/>
      <c r="M171" s="13"/>
      <c r="N171" s="13">
        <f>3760-3733</f>
        <v>27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15.6" x14ac:dyDescent="0.25">
      <c r="A172" s="98"/>
      <c r="B172" s="29" t="s">
        <v>69</v>
      </c>
      <c r="C172" s="6" t="s">
        <v>35</v>
      </c>
      <c r="D172" s="6" t="s">
        <v>697</v>
      </c>
      <c r="E172" s="8"/>
      <c r="F172" s="16">
        <v>17</v>
      </c>
      <c r="G172" s="99"/>
      <c r="H172" s="124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15.6" x14ac:dyDescent="0.25">
      <c r="A173" s="97">
        <v>67</v>
      </c>
      <c r="B173" s="29" t="s">
        <v>69</v>
      </c>
      <c r="C173" s="6" t="s">
        <v>33</v>
      </c>
      <c r="D173" s="6" t="s">
        <v>698</v>
      </c>
      <c r="E173" s="8"/>
      <c r="F173" s="16">
        <v>27</v>
      </c>
      <c r="G173" s="99">
        <f>SUM(F173:F179)</f>
        <v>50</v>
      </c>
      <c r="H173" s="122" t="s">
        <v>704</v>
      </c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15.6" x14ac:dyDescent="0.25">
      <c r="A174" s="97"/>
      <c r="B174" s="9" t="s">
        <v>84</v>
      </c>
      <c r="C174" s="6" t="s">
        <v>38</v>
      </c>
      <c r="D174" s="6" t="s">
        <v>700</v>
      </c>
      <c r="E174" s="8"/>
      <c r="F174" s="16">
        <v>1</v>
      </c>
      <c r="G174" s="99"/>
      <c r="H174" s="12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15.6" x14ac:dyDescent="0.25">
      <c r="A175" s="97"/>
      <c r="B175" s="9" t="s">
        <v>84</v>
      </c>
      <c r="C175" s="6" t="s">
        <v>44</v>
      </c>
      <c r="D175" s="6" t="s">
        <v>700</v>
      </c>
      <c r="E175" s="8"/>
      <c r="F175" s="16">
        <v>3</v>
      </c>
      <c r="G175" s="99"/>
      <c r="H175" s="12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15.6" x14ac:dyDescent="0.25">
      <c r="A176" s="97"/>
      <c r="B176" s="9" t="s">
        <v>84</v>
      </c>
      <c r="C176" s="6" t="s">
        <v>35</v>
      </c>
      <c r="D176" s="6" t="s">
        <v>700</v>
      </c>
      <c r="E176" s="8"/>
      <c r="F176" s="16">
        <v>2</v>
      </c>
      <c r="G176" s="99"/>
      <c r="H176" s="123"/>
      <c r="I176" s="13"/>
      <c r="J176" s="13"/>
      <c r="K176" s="13"/>
      <c r="L176" s="13"/>
      <c r="M176" s="13"/>
      <c r="N176" s="13">
        <f>3614-3733</f>
        <v>-119</v>
      </c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15.6" x14ac:dyDescent="0.25">
      <c r="A177" s="97"/>
      <c r="B177" s="9" t="s">
        <v>20</v>
      </c>
      <c r="C177" s="6" t="s">
        <v>34</v>
      </c>
      <c r="D177" s="6" t="s">
        <v>693</v>
      </c>
      <c r="E177" s="8"/>
      <c r="F177" s="16">
        <v>12</v>
      </c>
      <c r="G177" s="99"/>
      <c r="H177" s="12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15.6" x14ac:dyDescent="0.25">
      <c r="A178" s="97"/>
      <c r="B178" s="9" t="s">
        <v>84</v>
      </c>
      <c r="C178" s="6" t="s">
        <v>54</v>
      </c>
      <c r="D178" s="6" t="s">
        <v>700</v>
      </c>
      <c r="E178" s="8"/>
      <c r="F178" s="16">
        <v>1</v>
      </c>
      <c r="G178" s="99"/>
      <c r="H178" s="12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15.6" x14ac:dyDescent="0.25">
      <c r="A179" s="98"/>
      <c r="B179" s="9" t="s">
        <v>32</v>
      </c>
      <c r="C179" s="6" t="s">
        <v>120</v>
      </c>
      <c r="D179" s="6" t="s">
        <v>699</v>
      </c>
      <c r="E179" s="8"/>
      <c r="F179" s="16">
        <v>4</v>
      </c>
      <c r="G179" s="99"/>
      <c r="H179" s="124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15.6" x14ac:dyDescent="0.25">
      <c r="A180" s="97">
        <v>68</v>
      </c>
      <c r="B180" s="9" t="s">
        <v>69</v>
      </c>
      <c r="C180" s="6" t="s">
        <v>33</v>
      </c>
      <c r="D180" s="6" t="s">
        <v>698</v>
      </c>
      <c r="E180" s="8"/>
      <c r="F180" s="16">
        <v>23</v>
      </c>
      <c r="G180" s="99">
        <f t="shared" ref="G180" si="45">SUM(F180:F181)</f>
        <v>49</v>
      </c>
      <c r="H180" s="122" t="s">
        <v>705</v>
      </c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15.6" x14ac:dyDescent="0.25">
      <c r="A181" s="98"/>
      <c r="B181" s="9" t="s">
        <v>20</v>
      </c>
      <c r="C181" s="6" t="s">
        <v>34</v>
      </c>
      <c r="D181" s="6" t="s">
        <v>693</v>
      </c>
      <c r="E181" s="8"/>
      <c r="F181" s="16">
        <v>26</v>
      </c>
      <c r="G181" s="99"/>
      <c r="H181" s="124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15.6" x14ac:dyDescent="0.25">
      <c r="A182" s="97">
        <v>69</v>
      </c>
      <c r="B182" s="9" t="s">
        <v>20</v>
      </c>
      <c r="C182" s="6" t="s">
        <v>34</v>
      </c>
      <c r="D182" s="6" t="s">
        <v>693</v>
      </c>
      <c r="E182" s="8"/>
      <c r="F182" s="16">
        <v>27</v>
      </c>
      <c r="G182" s="99">
        <f t="shared" ref="G182" si="46">SUM(F182:F185)</f>
        <v>57</v>
      </c>
      <c r="H182" s="122" t="s">
        <v>707</v>
      </c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15.6" x14ac:dyDescent="0.25">
      <c r="A183" s="97"/>
      <c r="B183" s="9" t="s">
        <v>84</v>
      </c>
      <c r="C183" s="6" t="s">
        <v>9</v>
      </c>
      <c r="D183" s="6" t="s">
        <v>700</v>
      </c>
      <c r="E183" s="8"/>
      <c r="F183" s="16">
        <v>1</v>
      </c>
      <c r="G183" s="99"/>
      <c r="H183" s="12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15.6" x14ac:dyDescent="0.25">
      <c r="A184" s="97"/>
      <c r="B184" s="9" t="s">
        <v>69</v>
      </c>
      <c r="C184" s="6" t="s">
        <v>33</v>
      </c>
      <c r="D184" s="6" t="s">
        <v>698</v>
      </c>
      <c r="E184" s="8"/>
      <c r="F184" s="16">
        <v>2</v>
      </c>
      <c r="G184" s="99"/>
      <c r="H184" s="12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15.6" x14ac:dyDescent="0.25">
      <c r="A185" s="98"/>
      <c r="B185" s="29" t="s">
        <v>32</v>
      </c>
      <c r="C185" s="6" t="s">
        <v>120</v>
      </c>
      <c r="D185" s="6" t="s">
        <v>694</v>
      </c>
      <c r="E185" s="8"/>
      <c r="F185" s="16">
        <v>27</v>
      </c>
      <c r="G185" s="99"/>
      <c r="H185" s="124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15.6" x14ac:dyDescent="0.25">
      <c r="A186" s="97">
        <v>70</v>
      </c>
      <c r="B186" s="29" t="s">
        <v>20</v>
      </c>
      <c r="C186" s="6" t="s">
        <v>34</v>
      </c>
      <c r="D186" s="6" t="s">
        <v>693</v>
      </c>
      <c r="E186" s="8"/>
      <c r="F186" s="16">
        <v>27</v>
      </c>
      <c r="G186" s="99">
        <f t="shared" ref="G186" si="47">SUM(F186:F187)</f>
        <v>31</v>
      </c>
      <c r="H186" s="122" t="s">
        <v>706</v>
      </c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16.5" customHeight="1" x14ac:dyDescent="0.25">
      <c r="A187" s="98"/>
      <c r="B187" s="9" t="s">
        <v>32</v>
      </c>
      <c r="C187" s="6" t="s">
        <v>44</v>
      </c>
      <c r="D187" s="10" t="s">
        <v>682</v>
      </c>
      <c r="E187" s="8"/>
      <c r="F187" s="16">
        <v>4</v>
      </c>
      <c r="G187" s="99"/>
      <c r="H187" s="124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30" customHeight="1" x14ac:dyDescent="0.3">
      <c r="A188" s="125" t="s">
        <v>15</v>
      </c>
      <c r="B188" s="126"/>
      <c r="C188" s="126"/>
      <c r="D188" s="126"/>
      <c r="E188" s="127"/>
      <c r="F188" s="24"/>
      <c r="G188" s="30">
        <v>3733</v>
      </c>
      <c r="H188" s="18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02"/>
      <c r="B189" s="103"/>
      <c r="C189" s="103"/>
      <c r="D189" s="103"/>
      <c r="E189" s="103"/>
      <c r="F189" s="104"/>
      <c r="G189" s="104"/>
      <c r="H189" s="10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06" t="s">
        <v>16</v>
      </c>
      <c r="B190" s="107"/>
      <c r="C190" s="107"/>
      <c r="D190" s="107"/>
      <c r="E190" s="107"/>
      <c r="F190" s="107"/>
      <c r="G190" s="107"/>
      <c r="H190" s="108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06" t="s">
        <v>70</v>
      </c>
      <c r="B191" s="107"/>
      <c r="C191" s="107"/>
      <c r="D191" s="107"/>
      <c r="E191" s="107"/>
      <c r="F191" s="107"/>
      <c r="G191" s="107"/>
      <c r="H191" s="108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09"/>
      <c r="B192" s="110"/>
      <c r="C192" s="110"/>
      <c r="D192" s="110"/>
      <c r="E192" s="110"/>
      <c r="F192" s="110"/>
      <c r="G192" s="110"/>
      <c r="H192" s="111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22"/>
      <c r="B193" s="25"/>
      <c r="C193" s="25"/>
      <c r="D193" s="25"/>
      <c r="E193" s="25"/>
      <c r="F193" s="25"/>
      <c r="G193" s="25"/>
      <c r="H193" s="23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83" t="s">
        <v>17</v>
      </c>
      <c r="B194" s="84"/>
      <c r="C194" s="84"/>
      <c r="D194" s="84"/>
      <c r="E194" s="84"/>
      <c r="F194" s="84"/>
      <c r="G194" s="84"/>
      <c r="H194" s="8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86"/>
      <c r="B195" s="87"/>
      <c r="C195" s="87"/>
      <c r="D195" s="87"/>
      <c r="E195" s="87"/>
      <c r="F195" s="87"/>
      <c r="G195" s="87"/>
      <c r="H195" s="88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7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7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7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7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7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7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7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7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7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7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7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7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7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7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7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ht="15.75" customHeight="1" x14ac:dyDescent="0.3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15.75" customHeight="1" x14ac:dyDescent="0.3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15.75" customHeight="1" x14ac:dyDescent="0.3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15.75" customHeight="1" x14ac:dyDescent="0.3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15.75" customHeight="1" x14ac:dyDescent="0.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15.75" customHeight="1" x14ac:dyDescent="0.3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ht="15.75" customHeight="1" x14ac:dyDescent="0.3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ht="15.75" customHeight="1" x14ac:dyDescent="0.3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ht="15.75" customHeight="1" x14ac:dyDescent="0.3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15.75" customHeight="1" x14ac:dyDescent="0.3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ht="15.75" customHeight="1" x14ac:dyDescent="0.3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15.75" customHeight="1" x14ac:dyDescent="0.3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ht="15.75" customHeight="1" x14ac:dyDescent="0.3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ht="15.75" customHeight="1" x14ac:dyDescent="0.3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ht="15.75" customHeight="1" x14ac:dyDescent="0.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ht="15.75" customHeight="1" x14ac:dyDescent="0.3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15.75" customHeight="1" x14ac:dyDescent="0.3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15.75" customHeight="1" x14ac:dyDescent="0.3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15.75" customHeight="1" x14ac:dyDescent="0.3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ht="15.75" customHeight="1" x14ac:dyDescent="0.3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ht="15.75" customHeight="1" x14ac:dyDescent="0.3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15.75" customHeight="1" x14ac:dyDescent="0.3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ht="15.75" customHeight="1" x14ac:dyDescent="0.3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ht="15.75" customHeight="1" x14ac:dyDescent="0.3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ht="15.75" customHeight="1" x14ac:dyDescent="0.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ht="15.75" customHeight="1" x14ac:dyDescent="0.3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ht="15.75" customHeight="1" x14ac:dyDescent="0.3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ht="15.75" customHeight="1" x14ac:dyDescent="0.3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ht="15.75" customHeight="1" x14ac:dyDescent="0.3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15.75" customHeight="1" x14ac:dyDescent="0.3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ht="15.75" customHeight="1" x14ac:dyDescent="0.3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15.75" customHeight="1" x14ac:dyDescent="0.3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15.75" customHeight="1" x14ac:dyDescent="0.3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ht="15.75" customHeight="1" x14ac:dyDescent="0.3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ht="15.75" customHeight="1" x14ac:dyDescent="0.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15.75" customHeight="1" x14ac:dyDescent="0.3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ht="15.75" customHeight="1" x14ac:dyDescent="0.3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15.75" customHeight="1" x14ac:dyDescent="0.3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15.75" customHeight="1" x14ac:dyDescent="0.3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15.75" customHeight="1" x14ac:dyDescent="0.3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15.75" customHeight="1" x14ac:dyDescent="0.3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15.75" customHeight="1" x14ac:dyDescent="0.3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ht="15.75" customHeight="1" x14ac:dyDescent="0.3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ht="15.75" customHeight="1" x14ac:dyDescent="0.3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ht="15.75" customHeight="1" x14ac:dyDescent="0.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15.75" customHeight="1" x14ac:dyDescent="0.3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15.75" customHeight="1" x14ac:dyDescent="0.3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15.75" customHeight="1" x14ac:dyDescent="0.3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ht="15.75" customHeight="1" x14ac:dyDescent="0.3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ht="15.75" customHeight="1" x14ac:dyDescent="0.3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15.75" customHeight="1" x14ac:dyDescent="0.3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15.75" customHeight="1" x14ac:dyDescent="0.3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15.75" customHeight="1" x14ac:dyDescent="0.3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ht="15.75" customHeight="1" x14ac:dyDescent="0.3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</sheetData>
  <autoFilter ref="A7:Y188" xr:uid="{00000000-0009-0000-0000-000006000000}"/>
  <mergeCells count="221">
    <mergeCell ref="H44:H46"/>
    <mergeCell ref="G44:G46"/>
    <mergeCell ref="A44:A46"/>
    <mergeCell ref="H140:H143"/>
    <mergeCell ref="H144:H145"/>
    <mergeCell ref="H146:H147"/>
    <mergeCell ref="H148:H150"/>
    <mergeCell ref="H151:H154"/>
    <mergeCell ref="H155:H156"/>
    <mergeCell ref="A148:A150"/>
    <mergeCell ref="A151:A154"/>
    <mergeCell ref="A155:A156"/>
    <mergeCell ref="A49:A51"/>
    <mergeCell ref="G49:G51"/>
    <mergeCell ref="H49:H51"/>
    <mergeCell ref="A52:A53"/>
    <mergeCell ref="G52:G53"/>
    <mergeCell ref="H52:H53"/>
    <mergeCell ref="A47:A48"/>
    <mergeCell ref="G47:G48"/>
    <mergeCell ref="H47:H48"/>
    <mergeCell ref="A60:A61"/>
    <mergeCell ref="G60:G61"/>
    <mergeCell ref="H60:H61"/>
    <mergeCell ref="H157:H158"/>
    <mergeCell ref="H159:H160"/>
    <mergeCell ref="H161:H163"/>
    <mergeCell ref="H117:H118"/>
    <mergeCell ref="H119:H120"/>
    <mergeCell ref="H121:H125"/>
    <mergeCell ref="H126:H127"/>
    <mergeCell ref="H128:H129"/>
    <mergeCell ref="H130:H131"/>
    <mergeCell ref="H132:H133"/>
    <mergeCell ref="H134:H136"/>
    <mergeCell ref="H137:H139"/>
    <mergeCell ref="A157:A158"/>
    <mergeCell ref="A159:A160"/>
    <mergeCell ref="A161:A163"/>
    <mergeCell ref="G117:G118"/>
    <mergeCell ref="G119:G120"/>
    <mergeCell ref="G121:G125"/>
    <mergeCell ref="G126:G127"/>
    <mergeCell ref="G128:G129"/>
    <mergeCell ref="G130:G131"/>
    <mergeCell ref="G132:G133"/>
    <mergeCell ref="G134:G136"/>
    <mergeCell ref="G137:G139"/>
    <mergeCell ref="G140:G143"/>
    <mergeCell ref="G144:G145"/>
    <mergeCell ref="G146:G147"/>
    <mergeCell ref="G148:G150"/>
    <mergeCell ref="G151:G154"/>
    <mergeCell ref="G155:G156"/>
    <mergeCell ref="G157:G158"/>
    <mergeCell ref="G159:G160"/>
    <mergeCell ref="G161:G163"/>
    <mergeCell ref="A126:A127"/>
    <mergeCell ref="A128:A129"/>
    <mergeCell ref="A130:A131"/>
    <mergeCell ref="A10:A12"/>
    <mergeCell ref="G10:G12"/>
    <mergeCell ref="H10:H12"/>
    <mergeCell ref="A13:A14"/>
    <mergeCell ref="G13:G14"/>
    <mergeCell ref="H13:H14"/>
    <mergeCell ref="A1:H1"/>
    <mergeCell ref="A2:H2"/>
    <mergeCell ref="A3:H3"/>
    <mergeCell ref="A4:H4"/>
    <mergeCell ref="A5:H5"/>
    <mergeCell ref="A8:A9"/>
    <mergeCell ref="G8:G9"/>
    <mergeCell ref="H8:H9"/>
    <mergeCell ref="A20:A21"/>
    <mergeCell ref="G20:G21"/>
    <mergeCell ref="H20:H21"/>
    <mergeCell ref="A22:A23"/>
    <mergeCell ref="G22:G23"/>
    <mergeCell ref="H22:H23"/>
    <mergeCell ref="A15:A16"/>
    <mergeCell ref="G15:G16"/>
    <mergeCell ref="H15:H16"/>
    <mergeCell ref="A17:A19"/>
    <mergeCell ref="G17:G19"/>
    <mergeCell ref="H17:H19"/>
    <mergeCell ref="A29:A30"/>
    <mergeCell ref="G29:G30"/>
    <mergeCell ref="H29:H30"/>
    <mergeCell ref="A31:A33"/>
    <mergeCell ref="G31:G33"/>
    <mergeCell ref="H31:H33"/>
    <mergeCell ref="A24:A25"/>
    <mergeCell ref="G24:G25"/>
    <mergeCell ref="H24:H25"/>
    <mergeCell ref="A26:A28"/>
    <mergeCell ref="G26:G28"/>
    <mergeCell ref="H26:H28"/>
    <mergeCell ref="A38:A40"/>
    <mergeCell ref="G38:G40"/>
    <mergeCell ref="H38:H40"/>
    <mergeCell ref="A41:A43"/>
    <mergeCell ref="G41:G43"/>
    <mergeCell ref="H41:H43"/>
    <mergeCell ref="A34:A35"/>
    <mergeCell ref="G34:G35"/>
    <mergeCell ref="H34:H35"/>
    <mergeCell ref="A36:A37"/>
    <mergeCell ref="G36:G37"/>
    <mergeCell ref="H36:H37"/>
    <mergeCell ref="A62:A63"/>
    <mergeCell ref="G62:G63"/>
    <mergeCell ref="H62:H63"/>
    <mergeCell ref="A54:A56"/>
    <mergeCell ref="G54:G56"/>
    <mergeCell ref="H54:H56"/>
    <mergeCell ref="A57:A59"/>
    <mergeCell ref="G57:G59"/>
    <mergeCell ref="H57:H59"/>
    <mergeCell ref="A68:A69"/>
    <mergeCell ref="G68:G69"/>
    <mergeCell ref="H68:H69"/>
    <mergeCell ref="A70:A71"/>
    <mergeCell ref="G70:G71"/>
    <mergeCell ref="H70:H71"/>
    <mergeCell ref="A64:A65"/>
    <mergeCell ref="G64:G65"/>
    <mergeCell ref="H64:H65"/>
    <mergeCell ref="A66:A67"/>
    <mergeCell ref="G66:G67"/>
    <mergeCell ref="H66:H67"/>
    <mergeCell ref="A77:A79"/>
    <mergeCell ref="G77:G79"/>
    <mergeCell ref="H77:H79"/>
    <mergeCell ref="A80:A82"/>
    <mergeCell ref="G80:G82"/>
    <mergeCell ref="H80:H82"/>
    <mergeCell ref="A72:A74"/>
    <mergeCell ref="G72:G74"/>
    <mergeCell ref="H72:H74"/>
    <mergeCell ref="A75:A76"/>
    <mergeCell ref="G75:G76"/>
    <mergeCell ref="H75:H76"/>
    <mergeCell ref="A87:A88"/>
    <mergeCell ref="G87:G88"/>
    <mergeCell ref="H87:H88"/>
    <mergeCell ref="A89:A90"/>
    <mergeCell ref="G89:G90"/>
    <mergeCell ref="H89:H90"/>
    <mergeCell ref="A83:A84"/>
    <mergeCell ref="G83:G84"/>
    <mergeCell ref="H83:H84"/>
    <mergeCell ref="A85:A86"/>
    <mergeCell ref="G85:G86"/>
    <mergeCell ref="H85:H86"/>
    <mergeCell ref="A97:A98"/>
    <mergeCell ref="G97:G98"/>
    <mergeCell ref="H97:H98"/>
    <mergeCell ref="A99:A100"/>
    <mergeCell ref="G99:G100"/>
    <mergeCell ref="H99:H100"/>
    <mergeCell ref="A91:A93"/>
    <mergeCell ref="G91:G93"/>
    <mergeCell ref="H91:H93"/>
    <mergeCell ref="A94:A96"/>
    <mergeCell ref="G94:G96"/>
    <mergeCell ref="H94:H96"/>
    <mergeCell ref="A108:A109"/>
    <mergeCell ref="G108:G109"/>
    <mergeCell ref="H108:H109"/>
    <mergeCell ref="A110:A111"/>
    <mergeCell ref="G110:G111"/>
    <mergeCell ref="H110:H111"/>
    <mergeCell ref="A101:A105"/>
    <mergeCell ref="G101:G105"/>
    <mergeCell ref="H101:H105"/>
    <mergeCell ref="A106:A107"/>
    <mergeCell ref="G106:G107"/>
    <mergeCell ref="H106:H107"/>
    <mergeCell ref="A112:A113"/>
    <mergeCell ref="G112:G113"/>
    <mergeCell ref="H112:H113"/>
    <mergeCell ref="A114:A116"/>
    <mergeCell ref="G114:G116"/>
    <mergeCell ref="H114:H116"/>
    <mergeCell ref="A117:A118"/>
    <mergeCell ref="A119:A120"/>
    <mergeCell ref="A121:A125"/>
    <mergeCell ref="A132:A133"/>
    <mergeCell ref="A134:A136"/>
    <mergeCell ref="A137:A139"/>
    <mergeCell ref="A140:A143"/>
    <mergeCell ref="A144:A145"/>
    <mergeCell ref="A146:A147"/>
    <mergeCell ref="A191:H191"/>
    <mergeCell ref="A192:H192"/>
    <mergeCell ref="A194:H195"/>
    <mergeCell ref="A188:E188"/>
    <mergeCell ref="A189:H189"/>
    <mergeCell ref="A190:H190"/>
    <mergeCell ref="A164:A165"/>
    <mergeCell ref="G164:G165"/>
    <mergeCell ref="H164:H165"/>
    <mergeCell ref="A166:A168"/>
    <mergeCell ref="G166:G168"/>
    <mergeCell ref="H166:H168"/>
    <mergeCell ref="A169:A172"/>
    <mergeCell ref="G169:G172"/>
    <mergeCell ref="H169:H172"/>
    <mergeCell ref="A173:A179"/>
    <mergeCell ref="G173:G179"/>
    <mergeCell ref="H173:H179"/>
    <mergeCell ref="A180:A181"/>
    <mergeCell ref="G180:G181"/>
    <mergeCell ref="H180:H181"/>
    <mergeCell ref="A182:A185"/>
    <mergeCell ref="G182:G185"/>
    <mergeCell ref="H182:H185"/>
    <mergeCell ref="A186:A187"/>
    <mergeCell ref="G186:G187"/>
    <mergeCell ref="H186:H187"/>
  </mergeCells>
  <pageMargins left="0.7" right="0.7" top="0.75" bottom="0.75" header="0" footer="0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  <outlinePr summaryBelow="0" summaryRight="0"/>
  </sheetPr>
  <dimension ref="A1:Y688"/>
  <sheetViews>
    <sheetView zoomScale="85" zoomScaleNormal="85" workbookViewId="0">
      <pane ySplit="7" topLeftCell="A101" activePane="bottomLeft" state="frozen"/>
      <selection activeCell="D129" sqref="D129"/>
      <selection pane="bottomLeft" activeCell="D129" sqref="D129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208</v>
      </c>
      <c r="K2" s="12">
        <v>3373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669</v>
      </c>
      <c r="B4" s="115"/>
      <c r="C4" s="116"/>
      <c r="D4" s="116"/>
      <c r="E4" s="116"/>
      <c r="F4" s="116"/>
      <c r="G4" s="116"/>
      <c r="H4" s="116"/>
      <c r="I4" s="12"/>
      <c r="J4" s="12">
        <f>J2/J3</f>
        <v>7.7037037037037033</v>
      </c>
      <c r="K4" s="12">
        <f>K2/K3</f>
        <v>62.462962962962962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/>
      <c r="C8" s="6"/>
      <c r="D8" s="10"/>
      <c r="E8" s="8"/>
      <c r="F8" s="16"/>
      <c r="G8" s="99">
        <f>SUM(F8:F9)</f>
        <v>0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/>
      <c r="C9" s="6"/>
      <c r="D9" s="10"/>
      <c r="E9" s="8"/>
      <c r="F9" s="16"/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/>
      <c r="C10" s="6"/>
      <c r="D10" s="10"/>
      <c r="E10" s="8"/>
      <c r="F10" s="16"/>
      <c r="G10" s="99">
        <f t="shared" ref="G10" si="0">SUM(F10:F11)</f>
        <v>0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/>
      <c r="C11" s="6"/>
      <c r="D11" s="10"/>
      <c r="E11" s="8"/>
      <c r="F11" s="16"/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/>
      <c r="C12" s="6"/>
      <c r="D12" s="10"/>
      <c r="E12" s="8"/>
      <c r="F12" s="16"/>
      <c r="G12" s="99">
        <f t="shared" ref="G12" si="1">SUM(F12:F13)</f>
        <v>0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/>
      <c r="C13" s="6"/>
      <c r="D13" s="10"/>
      <c r="E13" s="8"/>
      <c r="F13" s="16"/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/>
      <c r="C14" s="6"/>
      <c r="D14" s="10"/>
      <c r="E14" s="8"/>
      <c r="F14" s="16"/>
      <c r="G14" s="99">
        <f t="shared" ref="G14" si="2">SUM(F14:F15)</f>
        <v>0</v>
      </c>
      <c r="H14" s="100" t="s">
        <v>130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/>
      <c r="C15" s="6"/>
      <c r="D15" s="10"/>
      <c r="E15" s="8"/>
      <c r="F15" s="16"/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/>
      <c r="C16" s="6"/>
      <c r="D16" s="10"/>
      <c r="E16" s="8"/>
      <c r="F16" s="16"/>
      <c r="G16" s="99">
        <f t="shared" ref="G16" si="3">SUM(F16:F17)</f>
        <v>0</v>
      </c>
      <c r="H16" s="100" t="s">
        <v>131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8"/>
      <c r="B17" s="9"/>
      <c r="C17" s="6"/>
      <c r="D17" s="10"/>
      <c r="E17" s="8"/>
      <c r="F17" s="16"/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>
        <v>6</v>
      </c>
      <c r="B18" s="9"/>
      <c r="C18" s="6"/>
      <c r="D18" s="10"/>
      <c r="E18" s="8"/>
      <c r="F18" s="16"/>
      <c r="G18" s="99">
        <f t="shared" ref="G18" si="4">SUM(F18:F19)</f>
        <v>0</v>
      </c>
      <c r="H18" s="100" t="s">
        <v>132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/>
      <c r="C19" s="6"/>
      <c r="D19" s="10"/>
      <c r="E19" s="8"/>
      <c r="F19" s="16"/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7</v>
      </c>
      <c r="B20" s="9"/>
      <c r="C20" s="6"/>
      <c r="D20" s="10"/>
      <c r="E20" s="8"/>
      <c r="F20" s="16"/>
      <c r="G20" s="99">
        <f t="shared" ref="G20" si="5">SUM(F20:F21)</f>
        <v>0</v>
      </c>
      <c r="H20" s="100" t="s">
        <v>133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/>
      <c r="C21" s="6"/>
      <c r="D21" s="10"/>
      <c r="E21" s="8"/>
      <c r="F21" s="16"/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8</v>
      </c>
      <c r="B22" s="9"/>
      <c r="C22" s="6"/>
      <c r="D22" s="10"/>
      <c r="E22" s="8"/>
      <c r="F22" s="16"/>
      <c r="G22" s="99">
        <f t="shared" ref="G22" si="6">SUM(F22:F23)</f>
        <v>0</v>
      </c>
      <c r="H22" s="100" t="s">
        <v>134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/>
      <c r="C23" s="6"/>
      <c r="D23" s="10"/>
      <c r="E23" s="8"/>
      <c r="F23" s="16"/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9</v>
      </c>
      <c r="B24" s="9"/>
      <c r="C24" s="6"/>
      <c r="D24" s="10"/>
      <c r="E24" s="8"/>
      <c r="F24" s="16"/>
      <c r="G24" s="99">
        <f t="shared" ref="G24" si="7">SUM(F24:F25)</f>
        <v>0</v>
      </c>
      <c r="H24" s="100" t="s">
        <v>135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/>
      <c r="C25" s="6"/>
      <c r="D25" s="10"/>
      <c r="E25" s="8"/>
      <c r="F25" s="16"/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10</v>
      </c>
      <c r="B26" s="9"/>
      <c r="C26" s="6"/>
      <c r="D26" s="10"/>
      <c r="E26" s="8"/>
      <c r="F26" s="16"/>
      <c r="G26" s="99">
        <f t="shared" ref="G26" si="8">SUM(F26:F27)</f>
        <v>0</v>
      </c>
      <c r="H26" s="100" t="s">
        <v>136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/>
      <c r="C27" s="6"/>
      <c r="D27" s="10"/>
      <c r="E27" s="8"/>
      <c r="F27" s="16"/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11</v>
      </c>
      <c r="B28" s="9"/>
      <c r="C28" s="6"/>
      <c r="D28" s="10"/>
      <c r="E28" s="8"/>
      <c r="F28" s="16"/>
      <c r="G28" s="99">
        <f t="shared" ref="G28" si="9">SUM(F28:F29)</f>
        <v>0</v>
      </c>
      <c r="H28" s="100" t="s">
        <v>137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8"/>
      <c r="B29" s="9"/>
      <c r="C29" s="6"/>
      <c r="D29" s="10"/>
      <c r="E29" s="8"/>
      <c r="F29" s="16"/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12</v>
      </c>
      <c r="B30" s="9"/>
      <c r="C30" s="6"/>
      <c r="D30" s="10"/>
      <c r="E30" s="8"/>
      <c r="F30" s="16"/>
      <c r="G30" s="99">
        <f t="shared" ref="G30" si="10">SUM(F30:F31)</f>
        <v>0</v>
      </c>
      <c r="H30" s="100" t="s">
        <v>138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/>
      <c r="C31" s="6"/>
      <c r="D31" s="10"/>
      <c r="E31" s="8"/>
      <c r="F31" s="16"/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13</v>
      </c>
      <c r="B32" s="9"/>
      <c r="C32" s="6"/>
      <c r="D32" s="10"/>
      <c r="E32" s="8"/>
      <c r="F32" s="16"/>
      <c r="G32" s="99">
        <f t="shared" ref="G32" si="11">SUM(F32:F33)</f>
        <v>0</v>
      </c>
      <c r="H32" s="100" t="s">
        <v>139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/>
      <c r="C33" s="6"/>
      <c r="D33" s="10"/>
      <c r="E33" s="8"/>
      <c r="F33" s="16"/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14</v>
      </c>
      <c r="B34" s="9"/>
      <c r="C34" s="6"/>
      <c r="D34" s="10"/>
      <c r="E34" s="8"/>
      <c r="F34" s="16"/>
      <c r="G34" s="99">
        <f t="shared" ref="G34" si="12">SUM(F34:F35)</f>
        <v>0</v>
      </c>
      <c r="H34" s="100" t="s">
        <v>140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/>
      <c r="C35" s="6"/>
      <c r="D35" s="10"/>
      <c r="E35" s="8"/>
      <c r="F35" s="16"/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15</v>
      </c>
      <c r="B36" s="9"/>
      <c r="C36" s="6"/>
      <c r="D36" s="10"/>
      <c r="E36" s="8"/>
      <c r="F36" s="16"/>
      <c r="G36" s="99">
        <f t="shared" ref="G36" si="13">SUM(F36:F37)</f>
        <v>0</v>
      </c>
      <c r="H36" s="100" t="s">
        <v>141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/>
      <c r="C37" s="6"/>
      <c r="D37" s="10"/>
      <c r="E37" s="8"/>
      <c r="F37" s="16"/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16</v>
      </c>
      <c r="B38" s="9"/>
      <c r="C38" s="6"/>
      <c r="D38" s="10"/>
      <c r="E38" s="8"/>
      <c r="F38" s="16"/>
      <c r="G38" s="99">
        <f t="shared" ref="G38" si="14">SUM(F38:F39)</f>
        <v>0</v>
      </c>
      <c r="H38" s="100" t="s">
        <v>142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/>
      <c r="C39" s="6"/>
      <c r="D39" s="10"/>
      <c r="E39" s="8"/>
      <c r="F39" s="16"/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17</v>
      </c>
      <c r="B40" s="9"/>
      <c r="C40" s="6"/>
      <c r="D40" s="10"/>
      <c r="E40" s="8"/>
      <c r="F40" s="16"/>
      <c r="G40" s="99">
        <f t="shared" ref="G40" si="15">SUM(F40:F41)</f>
        <v>0</v>
      </c>
      <c r="H40" s="100" t="s">
        <v>143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/>
      <c r="C41" s="6"/>
      <c r="D41" s="10"/>
      <c r="E41" s="8"/>
      <c r="F41" s="16"/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18</v>
      </c>
      <c r="B42" s="9"/>
      <c r="C42" s="6"/>
      <c r="D42" s="10"/>
      <c r="E42" s="8"/>
      <c r="F42" s="16"/>
      <c r="G42" s="99">
        <f t="shared" ref="G42" si="16">SUM(F42:F43)</f>
        <v>0</v>
      </c>
      <c r="H42" s="100" t="s">
        <v>144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/>
      <c r="C43" s="6"/>
      <c r="D43" s="10"/>
      <c r="E43" s="8"/>
      <c r="F43" s="16"/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>
        <v>19</v>
      </c>
      <c r="B44" s="9"/>
      <c r="C44" s="6"/>
      <c r="D44" s="10"/>
      <c r="E44" s="8"/>
      <c r="F44" s="16"/>
      <c r="G44" s="99">
        <f t="shared" ref="G44" si="17">SUM(F44:F45)</f>
        <v>0</v>
      </c>
      <c r="H44" s="100" t="s">
        <v>145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8"/>
      <c r="B45" s="9"/>
      <c r="C45" s="6"/>
      <c r="D45" s="10"/>
      <c r="E45" s="8"/>
      <c r="F45" s="16"/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>
        <v>20</v>
      </c>
      <c r="B46" s="9"/>
      <c r="C46" s="6"/>
      <c r="D46" s="10"/>
      <c r="E46" s="8"/>
      <c r="F46" s="16"/>
      <c r="G46" s="99">
        <f t="shared" ref="G46" si="18">SUM(F46:F47)</f>
        <v>0</v>
      </c>
      <c r="H46" s="100" t="s">
        <v>146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8"/>
      <c r="B47" s="9"/>
      <c r="C47" s="6"/>
      <c r="D47" s="10"/>
      <c r="E47" s="8"/>
      <c r="F47" s="16"/>
      <c r="G47" s="99"/>
      <c r="H47" s="10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7">
        <v>21</v>
      </c>
      <c r="B48" s="9"/>
      <c r="C48" s="6"/>
      <c r="D48" s="10"/>
      <c r="E48" s="8"/>
      <c r="F48" s="16"/>
      <c r="G48" s="99">
        <f t="shared" ref="G48" si="19">SUM(F48:F49)</f>
        <v>0</v>
      </c>
      <c r="H48" s="100" t="s">
        <v>147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8"/>
      <c r="B49" s="9"/>
      <c r="C49" s="6"/>
      <c r="D49" s="10"/>
      <c r="E49" s="8"/>
      <c r="F49" s="16"/>
      <c r="G49" s="99"/>
      <c r="H49" s="10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>
        <v>22</v>
      </c>
      <c r="B50" s="9"/>
      <c r="C50" s="6"/>
      <c r="D50" s="10"/>
      <c r="E50" s="8"/>
      <c r="F50" s="16"/>
      <c r="G50" s="99">
        <f t="shared" ref="G50" si="20">SUM(F50:F51)</f>
        <v>0</v>
      </c>
      <c r="H50" s="100" t="s">
        <v>148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8"/>
      <c r="B51" s="9"/>
      <c r="C51" s="6"/>
      <c r="D51" s="10"/>
      <c r="E51" s="8"/>
      <c r="F51" s="16"/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>
        <v>23</v>
      </c>
      <c r="B52" s="9"/>
      <c r="C52" s="6"/>
      <c r="D52" s="10"/>
      <c r="E52" s="8"/>
      <c r="F52" s="16"/>
      <c r="G52" s="99">
        <f t="shared" ref="G52" si="21">SUM(F52:F53)</f>
        <v>0</v>
      </c>
      <c r="H52" s="100" t="s">
        <v>149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/>
      <c r="C53" s="6"/>
      <c r="D53" s="10"/>
      <c r="E53" s="8"/>
      <c r="F53" s="16"/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>
        <v>24</v>
      </c>
      <c r="B54" s="9"/>
      <c r="C54" s="6"/>
      <c r="D54" s="10"/>
      <c r="E54" s="8"/>
      <c r="F54" s="16"/>
      <c r="G54" s="99">
        <f t="shared" ref="G54" si="22">SUM(F54:F55)</f>
        <v>0</v>
      </c>
      <c r="H54" s="100" t="s">
        <v>150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8"/>
      <c r="B55" s="9"/>
      <c r="C55" s="6"/>
      <c r="D55" s="10"/>
      <c r="E55" s="8"/>
      <c r="F55" s="16"/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7">
        <v>25</v>
      </c>
      <c r="B56" s="9"/>
      <c r="C56" s="6"/>
      <c r="D56" s="10"/>
      <c r="E56" s="8"/>
      <c r="F56" s="16"/>
      <c r="G56" s="99">
        <f t="shared" ref="G56" si="23">SUM(F56:F57)</f>
        <v>0</v>
      </c>
      <c r="H56" s="100" t="s">
        <v>151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8"/>
      <c r="B57" s="9"/>
      <c r="C57" s="6"/>
      <c r="D57" s="10"/>
      <c r="E57" s="8"/>
      <c r="F57" s="16"/>
      <c r="G57" s="99"/>
      <c r="H57" s="10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>
        <v>26</v>
      </c>
      <c r="B58" s="9"/>
      <c r="C58" s="6"/>
      <c r="D58" s="10"/>
      <c r="E58" s="8"/>
      <c r="F58" s="16"/>
      <c r="G58" s="99">
        <f t="shared" ref="G58" si="24">SUM(F58:F59)</f>
        <v>0</v>
      </c>
      <c r="H58" s="100" t="s">
        <v>152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/>
      <c r="C59" s="6"/>
      <c r="D59" s="10"/>
      <c r="E59" s="8"/>
      <c r="F59" s="16"/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27</v>
      </c>
      <c r="B60" s="9"/>
      <c r="C60" s="6"/>
      <c r="D60" s="10"/>
      <c r="E60" s="8"/>
      <c r="F60" s="16"/>
      <c r="G60" s="99">
        <f t="shared" ref="G60" si="25">SUM(F60:F61)</f>
        <v>0</v>
      </c>
      <c r="H60" s="100" t="s">
        <v>153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/>
      <c r="C61" s="6"/>
      <c r="D61" s="10"/>
      <c r="E61" s="8"/>
      <c r="F61" s="16"/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28</v>
      </c>
      <c r="B62" s="9"/>
      <c r="C62" s="6"/>
      <c r="D62" s="10"/>
      <c r="E62" s="8"/>
      <c r="F62" s="16"/>
      <c r="G62" s="99">
        <f t="shared" ref="G62" si="26">SUM(F62:F63)</f>
        <v>0</v>
      </c>
      <c r="H62" s="100" t="s">
        <v>154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/>
      <c r="C63" s="6"/>
      <c r="D63" s="10"/>
      <c r="E63" s="8"/>
      <c r="F63" s="16"/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29</v>
      </c>
      <c r="B64" s="9"/>
      <c r="C64" s="6"/>
      <c r="D64" s="10"/>
      <c r="E64" s="8"/>
      <c r="F64" s="16"/>
      <c r="G64" s="99">
        <f t="shared" ref="G64" si="27">SUM(F64:F65)</f>
        <v>0</v>
      </c>
      <c r="H64" s="100" t="s">
        <v>155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/>
      <c r="C65" s="6"/>
      <c r="D65" s="10"/>
      <c r="E65" s="8"/>
      <c r="F65" s="16"/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30</v>
      </c>
      <c r="B66" s="9"/>
      <c r="C66" s="6"/>
      <c r="D66" s="10"/>
      <c r="E66" s="8"/>
      <c r="F66" s="16"/>
      <c r="G66" s="99">
        <f t="shared" ref="G66" si="28">SUM(F66:F67)</f>
        <v>0</v>
      </c>
      <c r="H66" s="100" t="s">
        <v>156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/>
      <c r="C67" s="6"/>
      <c r="D67" s="10"/>
      <c r="E67" s="8"/>
      <c r="F67" s="16"/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31</v>
      </c>
      <c r="B68" s="9"/>
      <c r="C68" s="6"/>
      <c r="D68" s="10"/>
      <c r="E68" s="8"/>
      <c r="F68" s="16"/>
      <c r="G68" s="99">
        <f t="shared" ref="G68" si="29">SUM(F68:F69)</f>
        <v>0</v>
      </c>
      <c r="H68" s="100" t="s">
        <v>157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/>
      <c r="C69" s="6"/>
      <c r="D69" s="10"/>
      <c r="E69" s="8"/>
      <c r="F69" s="16"/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32</v>
      </c>
      <c r="B70" s="9"/>
      <c r="C70" s="6"/>
      <c r="D70" s="10"/>
      <c r="E70" s="8"/>
      <c r="F70" s="16"/>
      <c r="G70" s="99">
        <f t="shared" ref="G70" si="30">SUM(F70:F71)</f>
        <v>0</v>
      </c>
      <c r="H70" s="100" t="s">
        <v>158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/>
      <c r="C71" s="6"/>
      <c r="D71" s="10"/>
      <c r="E71" s="8"/>
      <c r="F71" s="16"/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33</v>
      </c>
      <c r="B72" s="9"/>
      <c r="C72" s="6"/>
      <c r="D72" s="10"/>
      <c r="E72" s="8"/>
      <c r="F72" s="16"/>
      <c r="G72" s="99">
        <f t="shared" ref="G72" si="31">SUM(F72:F73)</f>
        <v>0</v>
      </c>
      <c r="H72" s="100" t="s">
        <v>159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8"/>
      <c r="B73" s="9"/>
      <c r="C73" s="6"/>
      <c r="D73" s="10"/>
      <c r="E73" s="8"/>
      <c r="F73" s="16"/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7">
        <v>34</v>
      </c>
      <c r="B74" s="9"/>
      <c r="C74" s="6"/>
      <c r="D74" s="10"/>
      <c r="E74" s="8"/>
      <c r="F74" s="16"/>
      <c r="G74" s="99">
        <f t="shared" ref="G74" si="32">SUM(F74:F75)</f>
        <v>0</v>
      </c>
      <c r="H74" s="100" t="s">
        <v>160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8"/>
      <c r="B75" s="9"/>
      <c r="C75" s="6"/>
      <c r="D75" s="10"/>
      <c r="E75" s="8"/>
      <c r="F75" s="16"/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7">
        <v>35</v>
      </c>
      <c r="B76" s="9"/>
      <c r="C76" s="6"/>
      <c r="D76" s="10"/>
      <c r="E76" s="8"/>
      <c r="F76" s="16"/>
      <c r="G76" s="99">
        <f t="shared" ref="G76" si="33">SUM(F76:F77)</f>
        <v>0</v>
      </c>
      <c r="H76" s="100" t="s">
        <v>161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8"/>
      <c r="B77" s="9"/>
      <c r="C77" s="6"/>
      <c r="D77" s="10"/>
      <c r="E77" s="8"/>
      <c r="F77" s="16"/>
      <c r="G77" s="99"/>
      <c r="H77" s="10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>
        <v>36</v>
      </c>
      <c r="B78" s="9"/>
      <c r="C78" s="6"/>
      <c r="D78" s="10"/>
      <c r="E78" s="8"/>
      <c r="F78" s="16"/>
      <c r="G78" s="99">
        <f t="shared" ref="G78" si="34">SUM(F78:F79)</f>
        <v>0</v>
      </c>
      <c r="H78" s="100" t="s">
        <v>162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/>
      <c r="C79" s="6"/>
      <c r="D79" s="10"/>
      <c r="E79" s="8"/>
      <c r="F79" s="16"/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37</v>
      </c>
      <c r="B80" s="9"/>
      <c r="C80" s="6"/>
      <c r="D80" s="10"/>
      <c r="E80" s="8"/>
      <c r="F80" s="16"/>
      <c r="G80" s="99">
        <f t="shared" ref="G80:G96" si="35">SUM(F80:F81)</f>
        <v>0</v>
      </c>
      <c r="H80" s="100" t="s">
        <v>163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8"/>
      <c r="B81" s="9"/>
      <c r="C81" s="6"/>
      <c r="D81" s="10"/>
      <c r="E81" s="8"/>
      <c r="F81" s="16"/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7">
        <v>38</v>
      </c>
      <c r="B82" s="9"/>
      <c r="C82" s="6"/>
      <c r="D82" s="10"/>
      <c r="E82" s="8"/>
      <c r="F82" s="16"/>
      <c r="G82" s="99">
        <f t="shared" ref="G82:G94" si="36">SUM(F82:F83)</f>
        <v>0</v>
      </c>
      <c r="H82" s="100" t="s">
        <v>164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8"/>
      <c r="B83" s="9"/>
      <c r="C83" s="6"/>
      <c r="D83" s="10"/>
      <c r="E83" s="8"/>
      <c r="F83" s="16"/>
      <c r="G83" s="99"/>
      <c r="H83" s="10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>
        <v>39</v>
      </c>
      <c r="B84" s="9"/>
      <c r="C84" s="6"/>
      <c r="D84" s="10"/>
      <c r="E84" s="8"/>
      <c r="F84" s="16"/>
      <c r="G84" s="99">
        <f t="shared" si="35"/>
        <v>0</v>
      </c>
      <c r="H84" s="100" t="s">
        <v>165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8"/>
      <c r="B85" s="9"/>
      <c r="C85" s="6"/>
      <c r="D85" s="10"/>
      <c r="E85" s="8"/>
      <c r="F85" s="16"/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>
        <v>40</v>
      </c>
      <c r="B86" s="9"/>
      <c r="C86" s="6"/>
      <c r="D86" s="10"/>
      <c r="E86" s="8"/>
      <c r="F86" s="16"/>
      <c r="G86" s="99">
        <f t="shared" si="36"/>
        <v>0</v>
      </c>
      <c r="H86" s="100" t="s">
        <v>166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/>
      <c r="C87" s="6"/>
      <c r="D87" s="10"/>
      <c r="E87" s="8"/>
      <c r="F87" s="16"/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41</v>
      </c>
      <c r="B88" s="9"/>
      <c r="C88" s="6"/>
      <c r="D88" s="10"/>
      <c r="E88" s="8"/>
      <c r="F88" s="16"/>
      <c r="G88" s="99">
        <f t="shared" si="35"/>
        <v>0</v>
      </c>
      <c r="H88" s="100" t="s">
        <v>167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/>
      <c r="C89" s="6"/>
      <c r="D89" s="10"/>
      <c r="E89" s="8"/>
      <c r="F89" s="16"/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42</v>
      </c>
      <c r="B90" s="9"/>
      <c r="C90" s="6"/>
      <c r="D90" s="10"/>
      <c r="E90" s="8"/>
      <c r="F90" s="16"/>
      <c r="G90" s="99">
        <f t="shared" si="36"/>
        <v>0</v>
      </c>
      <c r="H90" s="100" t="s">
        <v>168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8"/>
      <c r="B91" s="9"/>
      <c r="C91" s="6"/>
      <c r="D91" s="10"/>
      <c r="E91" s="8"/>
      <c r="F91" s="16"/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7">
        <v>43</v>
      </c>
      <c r="B92" s="9"/>
      <c r="C92" s="6"/>
      <c r="D92" s="10"/>
      <c r="E92" s="8"/>
      <c r="F92" s="16"/>
      <c r="G92" s="99">
        <f t="shared" si="35"/>
        <v>0</v>
      </c>
      <c r="H92" s="100" t="s">
        <v>169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8"/>
      <c r="B93" s="9"/>
      <c r="C93" s="6"/>
      <c r="D93" s="10"/>
      <c r="E93" s="8"/>
      <c r="F93" s="16"/>
      <c r="G93" s="99"/>
      <c r="H93" s="10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>
        <v>44</v>
      </c>
      <c r="B94" s="9"/>
      <c r="C94" s="6"/>
      <c r="D94" s="10"/>
      <c r="E94" s="8"/>
      <c r="F94" s="16"/>
      <c r="G94" s="99">
        <f t="shared" si="36"/>
        <v>0</v>
      </c>
      <c r="H94" s="100" t="s">
        <v>170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/>
      <c r="C95" s="6"/>
      <c r="D95" s="10"/>
      <c r="E95" s="8"/>
      <c r="F95" s="16"/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45</v>
      </c>
      <c r="B96" s="9"/>
      <c r="C96" s="6"/>
      <c r="D96" s="10"/>
      <c r="E96" s="8"/>
      <c r="F96" s="16"/>
      <c r="G96" s="99">
        <f t="shared" si="35"/>
        <v>0</v>
      </c>
      <c r="H96" s="100" t="s">
        <v>172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8"/>
      <c r="B97" s="9"/>
      <c r="C97" s="6"/>
      <c r="D97" s="10"/>
      <c r="E97" s="8"/>
      <c r="F97" s="16"/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7">
        <v>46</v>
      </c>
      <c r="B98" s="9"/>
      <c r="C98" s="6"/>
      <c r="D98" s="10"/>
      <c r="E98" s="8"/>
      <c r="F98" s="16"/>
      <c r="G98" s="99">
        <f t="shared" ref="G98" si="37">SUM(F98:F99)</f>
        <v>0</v>
      </c>
      <c r="H98" s="122" t="s">
        <v>170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8"/>
      <c r="B99" s="9"/>
      <c r="C99" s="6"/>
      <c r="D99" s="10"/>
      <c r="E99" s="8"/>
      <c r="F99" s="16"/>
      <c r="G99" s="99"/>
      <c r="H99" s="124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7">
        <v>47</v>
      </c>
      <c r="B100" s="9"/>
      <c r="C100" s="6"/>
      <c r="D100" s="10"/>
      <c r="E100" s="8"/>
      <c r="F100" s="16"/>
      <c r="G100" s="99">
        <f t="shared" ref="G100" si="38">SUM(F100:F101)</f>
        <v>0</v>
      </c>
      <c r="H100" s="122" t="s">
        <v>169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8"/>
      <c r="B101" s="9"/>
      <c r="C101" s="6"/>
      <c r="D101" s="10"/>
      <c r="E101" s="8"/>
      <c r="F101" s="16"/>
      <c r="G101" s="99"/>
      <c r="H101" s="124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>
        <v>48</v>
      </c>
      <c r="B102" s="9"/>
      <c r="C102" s="6"/>
      <c r="D102" s="10"/>
      <c r="E102" s="8"/>
      <c r="F102" s="16"/>
      <c r="G102" s="99">
        <f t="shared" ref="G102" si="39">SUM(F102:F103)</f>
        <v>0</v>
      </c>
      <c r="H102" s="122" t="s">
        <v>670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/>
      <c r="C103" s="6"/>
      <c r="D103" s="10"/>
      <c r="E103" s="8"/>
      <c r="F103" s="16"/>
      <c r="G103" s="99"/>
      <c r="H103" s="124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49</v>
      </c>
      <c r="B104" s="9"/>
      <c r="C104" s="6"/>
      <c r="D104" s="10"/>
      <c r="E104" s="8"/>
      <c r="F104" s="16"/>
      <c r="G104" s="99">
        <f t="shared" ref="G104" si="40">SUM(F104:F105)</f>
        <v>0</v>
      </c>
      <c r="H104" s="122" t="s">
        <v>167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/>
      <c r="C105" s="6"/>
      <c r="D105" s="10"/>
      <c r="E105" s="8"/>
      <c r="F105" s="16"/>
      <c r="G105" s="99"/>
      <c r="H105" s="124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50</v>
      </c>
      <c r="B106" s="9"/>
      <c r="C106" s="6"/>
      <c r="D106" s="10"/>
      <c r="E106" s="8"/>
      <c r="F106" s="16"/>
      <c r="G106" s="99">
        <f t="shared" ref="G106:G122" si="41">SUM(F106:F107)</f>
        <v>0</v>
      </c>
      <c r="H106" s="122" t="s">
        <v>166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/>
      <c r="C107" s="6"/>
      <c r="D107" s="10"/>
      <c r="E107" s="8"/>
      <c r="F107" s="16"/>
      <c r="G107" s="99"/>
      <c r="H107" s="124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51</v>
      </c>
      <c r="B108" s="9"/>
      <c r="C108" s="6"/>
      <c r="D108" s="10"/>
      <c r="E108" s="8"/>
      <c r="F108" s="16"/>
      <c r="G108" s="99">
        <f t="shared" ref="G108:G120" si="42">SUM(F108:F109)</f>
        <v>0</v>
      </c>
      <c r="H108" s="122" t="s">
        <v>165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/>
      <c r="C109" s="6"/>
      <c r="D109" s="10"/>
      <c r="E109" s="8"/>
      <c r="F109" s="16"/>
      <c r="G109" s="99"/>
      <c r="H109" s="124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52</v>
      </c>
      <c r="B110" s="9"/>
      <c r="C110" s="6"/>
      <c r="D110" s="10"/>
      <c r="E110" s="8"/>
      <c r="F110" s="16"/>
      <c r="G110" s="99">
        <f t="shared" si="41"/>
        <v>0</v>
      </c>
      <c r="H110" s="122" t="s">
        <v>671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8"/>
      <c r="B111" s="9"/>
      <c r="C111" s="6"/>
      <c r="D111" s="10"/>
      <c r="E111" s="8"/>
      <c r="F111" s="16"/>
      <c r="G111" s="99"/>
      <c r="H111" s="124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>
        <v>53</v>
      </c>
      <c r="B112" s="9"/>
      <c r="C112" s="6"/>
      <c r="D112" s="10"/>
      <c r="E112" s="8"/>
      <c r="F112" s="16"/>
      <c r="G112" s="99">
        <f t="shared" si="42"/>
        <v>0</v>
      </c>
      <c r="H112" s="122" t="s">
        <v>163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8"/>
      <c r="B113" s="9"/>
      <c r="C113" s="6"/>
      <c r="D113" s="10"/>
      <c r="E113" s="8"/>
      <c r="F113" s="16"/>
      <c r="G113" s="99"/>
      <c r="H113" s="124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>
        <v>54</v>
      </c>
      <c r="B114" s="9"/>
      <c r="C114" s="6"/>
      <c r="D114" s="10"/>
      <c r="E114" s="8"/>
      <c r="F114" s="16"/>
      <c r="G114" s="99">
        <f t="shared" si="41"/>
        <v>0</v>
      </c>
      <c r="H114" s="122" t="s">
        <v>672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/>
      <c r="C115" s="6"/>
      <c r="D115" s="10"/>
      <c r="E115" s="8"/>
      <c r="F115" s="16"/>
      <c r="G115" s="99"/>
      <c r="H115" s="12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55</v>
      </c>
      <c r="B116" s="9"/>
      <c r="C116" s="6"/>
      <c r="D116" s="10"/>
      <c r="E116" s="8"/>
      <c r="F116" s="16"/>
      <c r="G116" s="99">
        <f t="shared" si="42"/>
        <v>0</v>
      </c>
      <c r="H116" s="122" t="s">
        <v>673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8"/>
      <c r="B117" s="9"/>
      <c r="C117" s="6"/>
      <c r="D117" s="10"/>
      <c r="E117" s="8"/>
      <c r="F117" s="16"/>
      <c r="G117" s="99"/>
      <c r="H117" s="124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>
        <v>56</v>
      </c>
      <c r="B118" s="9"/>
      <c r="C118" s="6"/>
      <c r="D118" s="10"/>
      <c r="E118" s="8"/>
      <c r="F118" s="16"/>
      <c r="G118" s="99">
        <f t="shared" si="41"/>
        <v>0</v>
      </c>
      <c r="H118" s="122" t="s">
        <v>674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/>
      <c r="C119" s="6"/>
      <c r="D119" s="10"/>
      <c r="E119" s="8"/>
      <c r="F119" s="16"/>
      <c r="G119" s="99"/>
      <c r="H119" s="124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>
        <v>57</v>
      </c>
      <c r="B120" s="9"/>
      <c r="C120" s="6"/>
      <c r="D120" s="10"/>
      <c r="E120" s="8"/>
      <c r="F120" s="16"/>
      <c r="G120" s="99">
        <f t="shared" si="42"/>
        <v>0</v>
      </c>
      <c r="H120" s="122" t="s">
        <v>675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8"/>
      <c r="B121" s="9"/>
      <c r="C121" s="6"/>
      <c r="D121" s="10"/>
      <c r="E121" s="8"/>
      <c r="F121" s="16"/>
      <c r="G121" s="99"/>
      <c r="H121" s="124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>
        <v>58</v>
      </c>
      <c r="B122" s="9"/>
      <c r="C122" s="6"/>
      <c r="D122" s="10"/>
      <c r="E122" s="8"/>
      <c r="F122" s="16"/>
      <c r="G122" s="99">
        <f t="shared" si="41"/>
        <v>0</v>
      </c>
      <c r="H122" s="122" t="s">
        <v>676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8"/>
      <c r="B123" s="9"/>
      <c r="C123" s="6"/>
      <c r="D123" s="10"/>
      <c r="E123" s="8"/>
      <c r="F123" s="16"/>
      <c r="G123" s="99"/>
      <c r="H123" s="124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>
        <v>59</v>
      </c>
      <c r="B124" s="9"/>
      <c r="C124" s="6"/>
      <c r="D124" s="10"/>
      <c r="E124" s="8"/>
      <c r="F124" s="16"/>
      <c r="G124" s="99">
        <f t="shared" ref="G124:G132" si="43">SUM(F124:F125)</f>
        <v>0</v>
      </c>
      <c r="H124" s="122" t="s">
        <v>677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2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60</v>
      </c>
      <c r="B126" s="9"/>
      <c r="C126" s="6"/>
      <c r="D126" s="10"/>
      <c r="E126" s="8"/>
      <c r="F126" s="16"/>
      <c r="G126" s="99">
        <f t="shared" ref="G126:G130" si="44">SUM(F126:F127)</f>
        <v>0</v>
      </c>
      <c r="H126" s="122" t="s">
        <v>678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/>
      <c r="C127" s="6"/>
      <c r="D127" s="10"/>
      <c r="E127" s="8"/>
      <c r="F127" s="16"/>
      <c r="G127" s="99"/>
      <c r="H127" s="124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97">
        <v>61</v>
      </c>
      <c r="B128" s="9"/>
      <c r="C128" s="6"/>
      <c r="D128" s="10"/>
      <c r="E128" s="8"/>
      <c r="F128" s="16"/>
      <c r="G128" s="99">
        <f t="shared" si="43"/>
        <v>0</v>
      </c>
      <c r="H128" s="122" t="s">
        <v>679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6" x14ac:dyDescent="0.25">
      <c r="A129" s="98"/>
      <c r="B129" s="9"/>
      <c r="C129" s="6"/>
      <c r="D129" s="10"/>
      <c r="E129" s="8"/>
      <c r="F129" s="16"/>
      <c r="G129" s="99"/>
      <c r="H129" s="124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6" x14ac:dyDescent="0.25">
      <c r="A130" s="97">
        <v>62</v>
      </c>
      <c r="B130" s="9"/>
      <c r="C130" s="6"/>
      <c r="D130" s="10"/>
      <c r="E130" s="8"/>
      <c r="F130" s="16"/>
      <c r="G130" s="99">
        <f t="shared" si="44"/>
        <v>0</v>
      </c>
      <c r="H130" s="122" t="s">
        <v>680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6" x14ac:dyDescent="0.25">
      <c r="A131" s="98"/>
      <c r="B131" s="9"/>
      <c r="C131" s="6"/>
      <c r="D131" s="10"/>
      <c r="E131" s="8"/>
      <c r="F131" s="16"/>
      <c r="G131" s="99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6" x14ac:dyDescent="0.25">
      <c r="A132" s="97">
        <v>63</v>
      </c>
      <c r="B132" s="9"/>
      <c r="C132" s="6"/>
      <c r="D132" s="10"/>
      <c r="E132" s="8"/>
      <c r="F132" s="16"/>
      <c r="G132" s="99">
        <f t="shared" si="43"/>
        <v>0</v>
      </c>
      <c r="H132" s="122" t="s">
        <v>681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6" x14ac:dyDescent="0.25">
      <c r="A133" s="98"/>
      <c r="B133" s="9"/>
      <c r="C133" s="6"/>
      <c r="D133" s="10"/>
      <c r="E133" s="8"/>
      <c r="F133" s="16"/>
      <c r="G133" s="99"/>
      <c r="H133" s="124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 x14ac:dyDescent="0.3">
      <c r="A134" s="101" t="s">
        <v>15</v>
      </c>
      <c r="B134" s="101"/>
      <c r="C134" s="101"/>
      <c r="D134" s="101"/>
      <c r="E134" s="101"/>
      <c r="F134" s="24"/>
      <c r="G134" s="17"/>
      <c r="H134" s="1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02"/>
      <c r="B135" s="103"/>
      <c r="C135" s="103"/>
      <c r="D135" s="103"/>
      <c r="E135" s="103"/>
      <c r="F135" s="104"/>
      <c r="G135" s="104"/>
      <c r="H135" s="10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06" t="s">
        <v>16</v>
      </c>
      <c r="B136" s="107"/>
      <c r="C136" s="107"/>
      <c r="D136" s="107"/>
      <c r="E136" s="107"/>
      <c r="F136" s="107"/>
      <c r="G136" s="107"/>
      <c r="H136" s="108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06" t="s">
        <v>70</v>
      </c>
      <c r="B137" s="107"/>
      <c r="C137" s="107"/>
      <c r="D137" s="107"/>
      <c r="E137" s="107"/>
      <c r="F137" s="107"/>
      <c r="G137" s="107"/>
      <c r="H137" s="108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09"/>
      <c r="B138" s="110"/>
      <c r="C138" s="110"/>
      <c r="D138" s="110"/>
      <c r="E138" s="110"/>
      <c r="F138" s="110"/>
      <c r="G138" s="110"/>
      <c r="H138" s="1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22"/>
      <c r="B139" s="25"/>
      <c r="C139" s="25"/>
      <c r="D139" s="25"/>
      <c r="E139" s="25"/>
      <c r="F139" s="25"/>
      <c r="G139" s="25"/>
      <c r="H139" s="2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83" t="s">
        <v>17</v>
      </c>
      <c r="B140" s="84"/>
      <c r="C140" s="84"/>
      <c r="D140" s="84"/>
      <c r="E140" s="84"/>
      <c r="F140" s="84"/>
      <c r="G140" s="84"/>
      <c r="H140" s="8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86"/>
      <c r="B141" s="87"/>
      <c r="C141" s="87"/>
      <c r="D141" s="87"/>
      <c r="E141" s="87"/>
      <c r="F141" s="87"/>
      <c r="G141" s="87"/>
      <c r="H141" s="88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</sheetData>
  <autoFilter ref="A7:Y134" xr:uid="{00000000-0009-0000-0000-000007000000}"/>
  <mergeCells count="200">
    <mergeCell ref="A134:E134"/>
    <mergeCell ref="A135:H135"/>
    <mergeCell ref="A136:H136"/>
    <mergeCell ref="A137:H137"/>
    <mergeCell ref="A138:H138"/>
    <mergeCell ref="A140:H141"/>
    <mergeCell ref="A130:A131"/>
    <mergeCell ref="G130:G131"/>
    <mergeCell ref="H130:H131"/>
    <mergeCell ref="A132:A133"/>
    <mergeCell ref="G132:G133"/>
    <mergeCell ref="H132:H133"/>
    <mergeCell ref="A126:A127"/>
    <mergeCell ref="G126:G127"/>
    <mergeCell ref="H126:H127"/>
    <mergeCell ref="A128:A129"/>
    <mergeCell ref="G128:G129"/>
    <mergeCell ref="H128:H129"/>
    <mergeCell ref="A122:A123"/>
    <mergeCell ref="G122:G123"/>
    <mergeCell ref="H122:H123"/>
    <mergeCell ref="A124:A125"/>
    <mergeCell ref="G124:G125"/>
    <mergeCell ref="H124:H125"/>
    <mergeCell ref="A118:A119"/>
    <mergeCell ref="G118:G119"/>
    <mergeCell ref="H118:H119"/>
    <mergeCell ref="A120:A121"/>
    <mergeCell ref="G120:G121"/>
    <mergeCell ref="H120:H121"/>
    <mergeCell ref="A114:A115"/>
    <mergeCell ref="G114:G115"/>
    <mergeCell ref="H114:H115"/>
    <mergeCell ref="A116:A117"/>
    <mergeCell ref="G116:G117"/>
    <mergeCell ref="H116:H117"/>
    <mergeCell ref="A110:A111"/>
    <mergeCell ref="G110:G111"/>
    <mergeCell ref="H110:H111"/>
    <mergeCell ref="A112:A113"/>
    <mergeCell ref="G112:G113"/>
    <mergeCell ref="H112:H113"/>
    <mergeCell ref="A106:A107"/>
    <mergeCell ref="G106:G107"/>
    <mergeCell ref="H106:H107"/>
    <mergeCell ref="A108:A109"/>
    <mergeCell ref="G108:G109"/>
    <mergeCell ref="H108:H109"/>
    <mergeCell ref="A102:A103"/>
    <mergeCell ref="G102:G103"/>
    <mergeCell ref="H102:H103"/>
    <mergeCell ref="A104:A105"/>
    <mergeCell ref="G104:G105"/>
    <mergeCell ref="H104:H105"/>
    <mergeCell ref="A98:A99"/>
    <mergeCell ref="G98:G99"/>
    <mergeCell ref="H98:H99"/>
    <mergeCell ref="A100:A101"/>
    <mergeCell ref="G100:G101"/>
    <mergeCell ref="H100:H101"/>
    <mergeCell ref="A94:A95"/>
    <mergeCell ref="G94:G95"/>
    <mergeCell ref="H94:H95"/>
    <mergeCell ref="A96:A97"/>
    <mergeCell ref="G96:G97"/>
    <mergeCell ref="H96:H97"/>
    <mergeCell ref="A90:A91"/>
    <mergeCell ref="G90:G91"/>
    <mergeCell ref="H90:H91"/>
    <mergeCell ref="A92:A93"/>
    <mergeCell ref="G92:G93"/>
    <mergeCell ref="H92:H93"/>
    <mergeCell ref="A86:A87"/>
    <mergeCell ref="G86:G87"/>
    <mergeCell ref="H86:H87"/>
    <mergeCell ref="A88:A89"/>
    <mergeCell ref="G88:G89"/>
    <mergeCell ref="H88:H89"/>
    <mergeCell ref="A82:A83"/>
    <mergeCell ref="G82:G83"/>
    <mergeCell ref="H82:H83"/>
    <mergeCell ref="A84:A85"/>
    <mergeCell ref="G84:G85"/>
    <mergeCell ref="H84:H85"/>
    <mergeCell ref="A78:A79"/>
    <mergeCell ref="G78:G79"/>
    <mergeCell ref="H78:H79"/>
    <mergeCell ref="A80:A81"/>
    <mergeCell ref="G80:G81"/>
    <mergeCell ref="H80:H81"/>
    <mergeCell ref="A74:A75"/>
    <mergeCell ref="G74:G75"/>
    <mergeCell ref="H74:H75"/>
    <mergeCell ref="A76:A77"/>
    <mergeCell ref="G76:G77"/>
    <mergeCell ref="H76:H77"/>
    <mergeCell ref="A70:A71"/>
    <mergeCell ref="G70:G71"/>
    <mergeCell ref="H70:H71"/>
    <mergeCell ref="A72:A73"/>
    <mergeCell ref="G72:G73"/>
    <mergeCell ref="H72:H73"/>
    <mergeCell ref="A66:A67"/>
    <mergeCell ref="G66:G67"/>
    <mergeCell ref="H66:H67"/>
    <mergeCell ref="A68:A69"/>
    <mergeCell ref="G68:G69"/>
    <mergeCell ref="H68:H69"/>
    <mergeCell ref="A62:A63"/>
    <mergeCell ref="G62:G63"/>
    <mergeCell ref="H62:H63"/>
    <mergeCell ref="A64:A65"/>
    <mergeCell ref="G64:G65"/>
    <mergeCell ref="H64:H65"/>
    <mergeCell ref="A58:A59"/>
    <mergeCell ref="G58:G59"/>
    <mergeCell ref="H58:H59"/>
    <mergeCell ref="A60:A61"/>
    <mergeCell ref="G60:G61"/>
    <mergeCell ref="H60:H61"/>
    <mergeCell ref="A54:A55"/>
    <mergeCell ref="G54:G55"/>
    <mergeCell ref="H54:H55"/>
    <mergeCell ref="A56:A57"/>
    <mergeCell ref="G56:G57"/>
    <mergeCell ref="H56:H57"/>
    <mergeCell ref="A50:A51"/>
    <mergeCell ref="G50:G51"/>
    <mergeCell ref="H50:H51"/>
    <mergeCell ref="A52:A53"/>
    <mergeCell ref="G52:G53"/>
    <mergeCell ref="H52:H53"/>
    <mergeCell ref="A46:A47"/>
    <mergeCell ref="G46:G47"/>
    <mergeCell ref="H46:H47"/>
    <mergeCell ref="A48:A49"/>
    <mergeCell ref="G48:G49"/>
    <mergeCell ref="H48:H49"/>
    <mergeCell ref="A42:A43"/>
    <mergeCell ref="G42:G43"/>
    <mergeCell ref="H42:H43"/>
    <mergeCell ref="A44:A45"/>
    <mergeCell ref="G44:G45"/>
    <mergeCell ref="H44:H45"/>
    <mergeCell ref="A38:A39"/>
    <mergeCell ref="G38:G39"/>
    <mergeCell ref="H38:H39"/>
    <mergeCell ref="A40:A41"/>
    <mergeCell ref="G40:G41"/>
    <mergeCell ref="H40:H41"/>
    <mergeCell ref="A34:A35"/>
    <mergeCell ref="G34:G35"/>
    <mergeCell ref="H34:H35"/>
    <mergeCell ref="A36:A37"/>
    <mergeCell ref="G36:G37"/>
    <mergeCell ref="H36:H37"/>
    <mergeCell ref="A30:A31"/>
    <mergeCell ref="G30:G31"/>
    <mergeCell ref="H30:H31"/>
    <mergeCell ref="A32:A33"/>
    <mergeCell ref="G32:G33"/>
    <mergeCell ref="H32:H33"/>
    <mergeCell ref="A26:A27"/>
    <mergeCell ref="G26:G27"/>
    <mergeCell ref="H26:H27"/>
    <mergeCell ref="A28:A29"/>
    <mergeCell ref="G28:G29"/>
    <mergeCell ref="H28:H29"/>
    <mergeCell ref="A22:A23"/>
    <mergeCell ref="G22:G23"/>
    <mergeCell ref="H22:H23"/>
    <mergeCell ref="A24:A25"/>
    <mergeCell ref="G24:G25"/>
    <mergeCell ref="H24:H25"/>
    <mergeCell ref="A18:A19"/>
    <mergeCell ref="G18:G19"/>
    <mergeCell ref="H18:H19"/>
    <mergeCell ref="A20:A21"/>
    <mergeCell ref="G20:G21"/>
    <mergeCell ref="H20:H21"/>
    <mergeCell ref="A16:A17"/>
    <mergeCell ref="G16:G17"/>
    <mergeCell ref="H16:H17"/>
    <mergeCell ref="A10:A11"/>
    <mergeCell ref="G10:G11"/>
    <mergeCell ref="H10:H11"/>
    <mergeCell ref="A12:A13"/>
    <mergeCell ref="G12:G13"/>
    <mergeCell ref="H12:H13"/>
    <mergeCell ref="A1:H1"/>
    <mergeCell ref="A2:H2"/>
    <mergeCell ref="A3:H3"/>
    <mergeCell ref="A4:H4"/>
    <mergeCell ref="A5:H5"/>
    <mergeCell ref="A8:A9"/>
    <mergeCell ref="G8:G9"/>
    <mergeCell ref="H8:H9"/>
    <mergeCell ref="A14:A15"/>
    <mergeCell ref="G14:G15"/>
    <mergeCell ref="H14:H15"/>
  </mergeCells>
  <pageMargins left="0.7" right="0.7" top="0.75" bottom="0.75" header="0" footer="0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V622"/>
  <sheetViews>
    <sheetView zoomScale="80" zoomScaleNormal="80" workbookViewId="0">
      <selection activeCell="F11" sqref="F11"/>
    </sheetView>
  </sheetViews>
  <sheetFormatPr defaultColWidth="14.44140625" defaultRowHeight="15" customHeight="1" x14ac:dyDescent="0.25"/>
  <cols>
    <col min="1" max="1" width="6.109375" style="11" customWidth="1"/>
    <col min="2" max="2" width="13.77734375" style="11" customWidth="1"/>
    <col min="3" max="3" width="10.88671875" style="11" customWidth="1"/>
    <col min="4" max="4" width="13.109375" style="11" bestFit="1" customWidth="1"/>
    <col min="5" max="5" width="14.21875" style="11" customWidth="1"/>
    <col min="6" max="6" width="45.33203125" style="11" customWidth="1"/>
    <col min="7" max="7" width="14.44140625" style="11" customWidth="1"/>
    <col min="8" max="8" width="11.109375" style="11" customWidth="1"/>
    <col min="9" max="9" width="16.77734375" style="11" customWidth="1"/>
    <col min="10" max="22" width="14.44140625" style="11" customWidth="1"/>
    <col min="23" max="16384" width="14.44140625" style="11"/>
  </cols>
  <sheetData>
    <row r="1" spans="1:22" ht="18" x14ac:dyDescent="0.3">
      <c r="A1" s="72" t="s">
        <v>4</v>
      </c>
      <c r="B1" s="72"/>
      <c r="C1" s="72"/>
      <c r="D1" s="73"/>
      <c r="E1" s="73"/>
      <c r="F1" s="73"/>
      <c r="G1" s="73"/>
      <c r="H1" s="73"/>
      <c r="I1" s="7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8" x14ac:dyDescent="0.3">
      <c r="A2" s="72" t="s">
        <v>5</v>
      </c>
      <c r="B2" s="72"/>
      <c r="C2" s="72"/>
      <c r="D2" s="73"/>
      <c r="E2" s="73"/>
      <c r="F2" s="73"/>
      <c r="G2" s="73"/>
      <c r="H2" s="73"/>
      <c r="I2" s="7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8" x14ac:dyDescent="0.3">
      <c r="A3" s="72" t="s">
        <v>714</v>
      </c>
      <c r="B3" s="72"/>
      <c r="C3" s="72"/>
      <c r="D3" s="73"/>
      <c r="E3" s="73"/>
      <c r="F3" s="73"/>
      <c r="G3" s="73"/>
      <c r="H3" s="73"/>
      <c r="I3" s="7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22.8" customHeight="1" x14ac:dyDescent="0.3">
      <c r="A4" s="74" t="s">
        <v>740</v>
      </c>
      <c r="B4" s="74"/>
      <c r="C4" s="74"/>
      <c r="D4" s="75"/>
      <c r="E4" s="75"/>
      <c r="F4" s="75"/>
      <c r="G4" s="75"/>
      <c r="H4" s="75"/>
      <c r="I4" s="75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22.8" customHeight="1" thickBot="1" x14ac:dyDescent="0.35">
      <c r="A5" s="74" t="s">
        <v>739</v>
      </c>
      <c r="B5" s="74"/>
      <c r="C5" s="74"/>
      <c r="D5" s="74"/>
      <c r="E5" s="74"/>
      <c r="F5" s="74" t="s">
        <v>712</v>
      </c>
      <c r="G5" s="74"/>
      <c r="H5" s="74"/>
      <c r="I5" s="7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35.4" thickBot="1" x14ac:dyDescent="0.35">
      <c r="A6" s="41" t="s">
        <v>6</v>
      </c>
      <c r="B6" s="64" t="s">
        <v>7</v>
      </c>
      <c r="C6" s="64" t="s">
        <v>724</v>
      </c>
      <c r="D6" s="47" t="s">
        <v>709</v>
      </c>
      <c r="E6" s="33" t="s">
        <v>710</v>
      </c>
      <c r="F6" s="32" t="s">
        <v>1</v>
      </c>
      <c r="G6" s="32" t="s">
        <v>2</v>
      </c>
      <c r="H6" s="33" t="s">
        <v>3</v>
      </c>
      <c r="I6" s="34" t="s">
        <v>708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31.95" customHeight="1" x14ac:dyDescent="0.25">
      <c r="A7" s="69">
        <v>1</v>
      </c>
      <c r="B7" s="35" t="s">
        <v>84</v>
      </c>
      <c r="C7" s="35" t="s">
        <v>725</v>
      </c>
      <c r="D7" s="44" t="s">
        <v>10</v>
      </c>
      <c r="E7" s="45" t="s">
        <v>715</v>
      </c>
      <c r="F7" s="54" t="s">
        <v>950</v>
      </c>
      <c r="G7" s="46">
        <v>30</v>
      </c>
      <c r="H7" s="77">
        <f>SUM(G7:G8)</f>
        <v>60</v>
      </c>
      <c r="I7" s="78" t="s">
        <v>835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31.95" customHeight="1" x14ac:dyDescent="0.25">
      <c r="A8" s="76"/>
      <c r="B8" s="35" t="s">
        <v>84</v>
      </c>
      <c r="C8" s="35" t="s">
        <v>726</v>
      </c>
      <c r="D8" s="36" t="s">
        <v>120</v>
      </c>
      <c r="E8" s="42" t="s">
        <v>722</v>
      </c>
      <c r="F8" s="67" t="s">
        <v>951</v>
      </c>
      <c r="G8" s="37">
        <v>30</v>
      </c>
      <c r="H8" s="70"/>
      <c r="I8" s="7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31.95" customHeight="1" x14ac:dyDescent="0.25">
      <c r="A9" s="69">
        <v>2</v>
      </c>
      <c r="B9" s="35" t="s">
        <v>84</v>
      </c>
      <c r="C9" s="35" t="s">
        <v>725</v>
      </c>
      <c r="D9" s="44" t="s">
        <v>10</v>
      </c>
      <c r="E9" s="45" t="s">
        <v>715</v>
      </c>
      <c r="F9" s="54" t="s">
        <v>1004</v>
      </c>
      <c r="G9" s="46">
        <v>17</v>
      </c>
      <c r="H9" s="79">
        <f>SUM(G9:G13)</f>
        <v>58</v>
      </c>
      <c r="I9" s="71" t="s">
        <v>836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36" x14ac:dyDescent="0.25">
      <c r="A10" s="69"/>
      <c r="B10" s="35" t="s">
        <v>84</v>
      </c>
      <c r="C10" s="35" t="s">
        <v>725</v>
      </c>
      <c r="D10" s="44" t="s">
        <v>719</v>
      </c>
      <c r="E10" s="45" t="s">
        <v>715</v>
      </c>
      <c r="F10" s="54" t="s">
        <v>786</v>
      </c>
      <c r="G10" s="46">
        <v>8</v>
      </c>
      <c r="H10" s="79"/>
      <c r="I10" s="7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31.95" customHeight="1" x14ac:dyDescent="0.25">
      <c r="A11" s="69"/>
      <c r="B11" s="35" t="s">
        <v>32</v>
      </c>
      <c r="C11" s="35" t="s">
        <v>725</v>
      </c>
      <c r="D11" s="44" t="s">
        <v>716</v>
      </c>
      <c r="E11" s="45" t="s">
        <v>715</v>
      </c>
      <c r="F11" s="54" t="s">
        <v>952</v>
      </c>
      <c r="G11" s="46">
        <v>1</v>
      </c>
      <c r="H11" s="79"/>
      <c r="I11" s="71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31.95" customHeight="1" x14ac:dyDescent="0.25">
      <c r="A12" s="69"/>
      <c r="B12" s="35" t="s">
        <v>69</v>
      </c>
      <c r="C12" s="35" t="s">
        <v>725</v>
      </c>
      <c r="D12" s="36" t="s">
        <v>717</v>
      </c>
      <c r="E12" s="45" t="s">
        <v>715</v>
      </c>
      <c r="F12" s="136" t="s">
        <v>769</v>
      </c>
      <c r="G12" s="37">
        <v>2</v>
      </c>
      <c r="H12" s="79"/>
      <c r="I12" s="7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31.95" customHeight="1" x14ac:dyDescent="0.25">
      <c r="A13" s="69"/>
      <c r="B13" s="35" t="s">
        <v>84</v>
      </c>
      <c r="C13" s="35" t="s">
        <v>726</v>
      </c>
      <c r="D13" s="36" t="s">
        <v>120</v>
      </c>
      <c r="E13" s="42" t="s">
        <v>722</v>
      </c>
      <c r="F13" s="67" t="s">
        <v>953</v>
      </c>
      <c r="G13" s="37">
        <v>30</v>
      </c>
      <c r="H13" s="79"/>
      <c r="I13" s="71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31.95" customHeight="1" x14ac:dyDescent="0.25">
      <c r="A14" s="69">
        <v>3</v>
      </c>
      <c r="B14" s="35" t="s">
        <v>84</v>
      </c>
      <c r="C14" s="35" t="s">
        <v>725</v>
      </c>
      <c r="D14" s="44" t="s">
        <v>716</v>
      </c>
      <c r="E14" s="45" t="s">
        <v>715</v>
      </c>
      <c r="F14" s="137" t="s">
        <v>954</v>
      </c>
      <c r="G14" s="37">
        <v>30</v>
      </c>
      <c r="H14" s="70">
        <f>SUM(G14:G15)</f>
        <v>60</v>
      </c>
      <c r="I14" s="71" t="s">
        <v>837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31.95" customHeight="1" x14ac:dyDescent="0.25">
      <c r="A15" s="76"/>
      <c r="B15" s="35" t="s">
        <v>84</v>
      </c>
      <c r="C15" s="35" t="s">
        <v>726</v>
      </c>
      <c r="D15" s="36" t="s">
        <v>120</v>
      </c>
      <c r="E15" s="42" t="s">
        <v>722</v>
      </c>
      <c r="F15" s="67" t="s">
        <v>955</v>
      </c>
      <c r="G15" s="37">
        <v>30</v>
      </c>
      <c r="H15" s="70"/>
      <c r="I15" s="71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31.95" customHeight="1" x14ac:dyDescent="0.25">
      <c r="A16" s="69">
        <v>4</v>
      </c>
      <c r="B16" s="35" t="s">
        <v>84</v>
      </c>
      <c r="C16" s="35" t="s">
        <v>725</v>
      </c>
      <c r="D16" s="44" t="s">
        <v>716</v>
      </c>
      <c r="E16" s="45" t="s">
        <v>715</v>
      </c>
      <c r="F16" s="136" t="s">
        <v>1005</v>
      </c>
      <c r="G16" s="37">
        <v>29</v>
      </c>
      <c r="H16" s="70">
        <f>SUM(G16:G17)</f>
        <v>59</v>
      </c>
      <c r="I16" s="71" t="s">
        <v>838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31.95" customHeight="1" x14ac:dyDescent="0.25">
      <c r="A17" s="76"/>
      <c r="B17" s="35" t="s">
        <v>84</v>
      </c>
      <c r="C17" s="35" t="s">
        <v>726</v>
      </c>
      <c r="D17" s="36" t="s">
        <v>120</v>
      </c>
      <c r="E17" s="42" t="s">
        <v>722</v>
      </c>
      <c r="F17" s="67" t="s">
        <v>956</v>
      </c>
      <c r="G17" s="37">
        <v>30</v>
      </c>
      <c r="H17" s="70"/>
      <c r="I17" s="71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31.95" customHeight="1" x14ac:dyDescent="0.25">
      <c r="A18" s="69">
        <v>5</v>
      </c>
      <c r="B18" s="35" t="s">
        <v>84</v>
      </c>
      <c r="C18" s="35" t="s">
        <v>725</v>
      </c>
      <c r="D18" s="36" t="s">
        <v>8</v>
      </c>
      <c r="E18" s="45" t="s">
        <v>715</v>
      </c>
      <c r="F18" s="136" t="s">
        <v>778</v>
      </c>
      <c r="G18" s="37">
        <v>10</v>
      </c>
      <c r="H18" s="79">
        <f>SUM(G18:G23)</f>
        <v>60</v>
      </c>
      <c r="I18" s="71" t="s">
        <v>839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36" x14ac:dyDescent="0.25">
      <c r="A19" s="69"/>
      <c r="B19" s="35" t="s">
        <v>32</v>
      </c>
      <c r="C19" s="35" t="s">
        <v>725</v>
      </c>
      <c r="D19" s="36" t="s">
        <v>8</v>
      </c>
      <c r="E19" s="45" t="s">
        <v>715</v>
      </c>
      <c r="F19" s="136" t="s">
        <v>777</v>
      </c>
      <c r="G19" s="37">
        <v>7</v>
      </c>
      <c r="H19" s="79"/>
      <c r="I19" s="71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31.95" customHeight="1" x14ac:dyDescent="0.25">
      <c r="A20" s="69"/>
      <c r="B20" s="35" t="s">
        <v>69</v>
      </c>
      <c r="C20" s="35" t="s">
        <v>725</v>
      </c>
      <c r="D20" s="36" t="s">
        <v>8</v>
      </c>
      <c r="E20" s="45" t="s">
        <v>715</v>
      </c>
      <c r="F20" s="136" t="s">
        <v>776</v>
      </c>
      <c r="G20" s="37">
        <v>5</v>
      </c>
      <c r="H20" s="79"/>
      <c r="I20" s="71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31.95" customHeight="1" x14ac:dyDescent="0.25">
      <c r="A21" s="69"/>
      <c r="B21" s="35" t="s">
        <v>84</v>
      </c>
      <c r="C21" s="35" t="s">
        <v>725</v>
      </c>
      <c r="D21" s="36" t="s">
        <v>719</v>
      </c>
      <c r="E21" s="45" t="s">
        <v>715</v>
      </c>
      <c r="F21" s="43" t="s">
        <v>785</v>
      </c>
      <c r="G21" s="37">
        <v>3</v>
      </c>
      <c r="H21" s="79"/>
      <c r="I21" s="71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31.95" customHeight="1" x14ac:dyDescent="0.25">
      <c r="A22" s="69"/>
      <c r="B22" s="35" t="s">
        <v>32</v>
      </c>
      <c r="C22" s="35" t="s">
        <v>725</v>
      </c>
      <c r="D22" s="36" t="s">
        <v>717</v>
      </c>
      <c r="E22" s="45" t="s">
        <v>715</v>
      </c>
      <c r="F22" s="136" t="s">
        <v>804</v>
      </c>
      <c r="G22" s="37">
        <v>5</v>
      </c>
      <c r="H22" s="79"/>
      <c r="I22" s="71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31.95" customHeight="1" x14ac:dyDescent="0.25">
      <c r="A23" s="76"/>
      <c r="B23" s="35" t="s">
        <v>84</v>
      </c>
      <c r="C23" s="35" t="s">
        <v>726</v>
      </c>
      <c r="D23" s="36" t="s">
        <v>120</v>
      </c>
      <c r="E23" s="42" t="s">
        <v>722</v>
      </c>
      <c r="F23" s="67" t="s">
        <v>957</v>
      </c>
      <c r="G23" s="37">
        <v>30</v>
      </c>
      <c r="H23" s="79"/>
      <c r="I23" s="71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54" x14ac:dyDescent="0.25">
      <c r="A24" s="69">
        <v>6</v>
      </c>
      <c r="B24" s="35" t="s">
        <v>84</v>
      </c>
      <c r="C24" s="35" t="s">
        <v>725</v>
      </c>
      <c r="D24" s="36" t="s">
        <v>717</v>
      </c>
      <c r="E24" s="45" t="s">
        <v>715</v>
      </c>
      <c r="F24" s="136" t="s">
        <v>802</v>
      </c>
      <c r="G24" s="37">
        <v>20</v>
      </c>
      <c r="H24" s="70">
        <f>SUM(G24:G26)</f>
        <v>60</v>
      </c>
      <c r="I24" s="71" t="s">
        <v>840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35.4" customHeight="1" x14ac:dyDescent="0.25">
      <c r="A25" s="69"/>
      <c r="B25" s="35" t="s">
        <v>32</v>
      </c>
      <c r="C25" s="35" t="s">
        <v>725</v>
      </c>
      <c r="D25" s="36" t="s">
        <v>717</v>
      </c>
      <c r="E25" s="45" t="s">
        <v>715</v>
      </c>
      <c r="F25" s="136" t="s">
        <v>803</v>
      </c>
      <c r="G25" s="37">
        <v>10</v>
      </c>
      <c r="H25" s="70"/>
      <c r="I25" s="71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31.95" customHeight="1" x14ac:dyDescent="0.25">
      <c r="A26" s="76"/>
      <c r="B26" s="35" t="s">
        <v>84</v>
      </c>
      <c r="C26" s="35" t="s">
        <v>726</v>
      </c>
      <c r="D26" s="36" t="s">
        <v>120</v>
      </c>
      <c r="E26" s="42" t="s">
        <v>722</v>
      </c>
      <c r="F26" s="67" t="s">
        <v>958</v>
      </c>
      <c r="G26" s="37">
        <v>30</v>
      </c>
      <c r="H26" s="70"/>
      <c r="I26" s="71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31.95" customHeight="1" x14ac:dyDescent="0.25">
      <c r="A27" s="69">
        <v>7</v>
      </c>
      <c r="B27" s="35" t="s">
        <v>84</v>
      </c>
      <c r="C27" s="35" t="s">
        <v>725</v>
      </c>
      <c r="D27" s="36" t="s">
        <v>9</v>
      </c>
      <c r="E27" s="45" t="s">
        <v>715</v>
      </c>
      <c r="F27" s="136" t="s">
        <v>1031</v>
      </c>
      <c r="G27" s="37">
        <v>28</v>
      </c>
      <c r="H27" s="70">
        <f>SUM(G27:G28)</f>
        <v>58</v>
      </c>
      <c r="I27" s="71" t="s">
        <v>841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31.95" customHeight="1" x14ac:dyDescent="0.25">
      <c r="A28" s="76"/>
      <c r="B28" s="35" t="s">
        <v>84</v>
      </c>
      <c r="C28" s="35" t="s">
        <v>726</v>
      </c>
      <c r="D28" s="36" t="s">
        <v>120</v>
      </c>
      <c r="E28" s="42" t="s">
        <v>722</v>
      </c>
      <c r="F28" s="67" t="s">
        <v>959</v>
      </c>
      <c r="G28" s="37">
        <v>30</v>
      </c>
      <c r="H28" s="70"/>
      <c r="I28" s="71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31.95" customHeight="1" x14ac:dyDescent="0.25">
      <c r="A29" s="69">
        <v>8</v>
      </c>
      <c r="B29" s="35" t="s">
        <v>84</v>
      </c>
      <c r="C29" s="35" t="s">
        <v>725</v>
      </c>
      <c r="D29" s="36" t="s">
        <v>9</v>
      </c>
      <c r="E29" s="45" t="s">
        <v>715</v>
      </c>
      <c r="F29" s="136" t="s">
        <v>960</v>
      </c>
      <c r="G29" s="37">
        <v>30</v>
      </c>
      <c r="H29" s="70">
        <f>SUM(G29:G33)</f>
        <v>59</v>
      </c>
      <c r="I29" s="71" t="s">
        <v>842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50.4" customHeight="1" x14ac:dyDescent="0.25">
      <c r="A30" s="69"/>
      <c r="B30" s="35" t="s">
        <v>69</v>
      </c>
      <c r="C30" s="35" t="s">
        <v>725</v>
      </c>
      <c r="D30" s="36" t="s">
        <v>77</v>
      </c>
      <c r="E30" s="42" t="s">
        <v>723</v>
      </c>
      <c r="F30" s="136" t="s">
        <v>830</v>
      </c>
      <c r="G30" s="37">
        <v>19</v>
      </c>
      <c r="H30" s="70"/>
      <c r="I30" s="71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31.95" customHeight="1" x14ac:dyDescent="0.25">
      <c r="A31" s="69"/>
      <c r="B31" s="35" t="s">
        <v>84</v>
      </c>
      <c r="C31" s="35" t="s">
        <v>725</v>
      </c>
      <c r="D31" s="36" t="s">
        <v>77</v>
      </c>
      <c r="E31" s="42" t="s">
        <v>723</v>
      </c>
      <c r="F31" s="55" t="s">
        <v>961</v>
      </c>
      <c r="G31" s="37">
        <v>2</v>
      </c>
      <c r="H31" s="70"/>
      <c r="I31" s="71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31.95" customHeight="1" x14ac:dyDescent="0.25">
      <c r="A32" s="69"/>
      <c r="B32" s="35" t="s">
        <v>32</v>
      </c>
      <c r="C32" s="35" t="s">
        <v>726</v>
      </c>
      <c r="D32" s="36" t="s">
        <v>120</v>
      </c>
      <c r="E32" s="42" t="s">
        <v>722</v>
      </c>
      <c r="F32" s="39" t="s">
        <v>833</v>
      </c>
      <c r="G32" s="37">
        <v>1</v>
      </c>
      <c r="H32" s="70"/>
      <c r="I32" s="71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31.95" customHeight="1" x14ac:dyDescent="0.25">
      <c r="A33" s="76"/>
      <c r="B33" s="35" t="s">
        <v>84</v>
      </c>
      <c r="C33" s="35" t="s">
        <v>726</v>
      </c>
      <c r="D33" s="36" t="s">
        <v>120</v>
      </c>
      <c r="E33" s="42" t="s">
        <v>722</v>
      </c>
      <c r="F33" s="67" t="s">
        <v>962</v>
      </c>
      <c r="G33" s="37">
        <v>7</v>
      </c>
      <c r="H33" s="70"/>
      <c r="I33" s="71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31.95" customHeight="1" x14ac:dyDescent="0.25">
      <c r="A34" s="69">
        <v>9</v>
      </c>
      <c r="B34" s="35" t="s">
        <v>84</v>
      </c>
      <c r="C34" s="35" t="s">
        <v>725</v>
      </c>
      <c r="D34" s="36" t="s">
        <v>9</v>
      </c>
      <c r="E34" s="45" t="s">
        <v>715</v>
      </c>
      <c r="F34" s="136" t="s">
        <v>963</v>
      </c>
      <c r="G34" s="37">
        <v>3</v>
      </c>
      <c r="H34" s="70">
        <f>SUM(G34:G38)</f>
        <v>60</v>
      </c>
      <c r="I34" s="71" t="s">
        <v>843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54" x14ac:dyDescent="0.25">
      <c r="A35" s="69"/>
      <c r="B35" s="35" t="s">
        <v>32</v>
      </c>
      <c r="C35" s="62" t="s">
        <v>725</v>
      </c>
      <c r="D35" s="63" t="s">
        <v>9</v>
      </c>
      <c r="E35" s="57" t="s">
        <v>715</v>
      </c>
      <c r="F35" s="136" t="s">
        <v>793</v>
      </c>
      <c r="G35" s="37">
        <v>15</v>
      </c>
      <c r="H35" s="70"/>
      <c r="I35" s="71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31.95" customHeight="1" x14ac:dyDescent="0.25">
      <c r="A36" s="69"/>
      <c r="B36" s="35" t="s">
        <v>69</v>
      </c>
      <c r="C36" s="62" t="s">
        <v>725</v>
      </c>
      <c r="D36" s="63" t="s">
        <v>9</v>
      </c>
      <c r="E36" s="57" t="s">
        <v>715</v>
      </c>
      <c r="F36" s="136" t="s">
        <v>792</v>
      </c>
      <c r="G36" s="37">
        <v>6</v>
      </c>
      <c r="H36" s="70"/>
      <c r="I36" s="7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31.95" customHeight="1" x14ac:dyDescent="0.25">
      <c r="A37" s="69"/>
      <c r="B37" s="35" t="s">
        <v>32</v>
      </c>
      <c r="C37" s="35" t="s">
        <v>725</v>
      </c>
      <c r="D37" s="36" t="s">
        <v>44</v>
      </c>
      <c r="E37" s="45" t="s">
        <v>715</v>
      </c>
      <c r="F37" s="136" t="s">
        <v>796</v>
      </c>
      <c r="G37" s="37">
        <v>6</v>
      </c>
      <c r="H37" s="70"/>
      <c r="I37" s="71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31.95" customHeight="1" x14ac:dyDescent="0.25">
      <c r="A38" s="76"/>
      <c r="B38" s="35" t="s">
        <v>84</v>
      </c>
      <c r="C38" s="35" t="s">
        <v>726</v>
      </c>
      <c r="D38" s="36" t="s">
        <v>120</v>
      </c>
      <c r="E38" s="42" t="s">
        <v>722</v>
      </c>
      <c r="F38" s="67" t="s">
        <v>964</v>
      </c>
      <c r="G38" s="37">
        <v>30</v>
      </c>
      <c r="H38" s="70"/>
      <c r="I38" s="7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72" x14ac:dyDescent="0.25">
      <c r="A39" s="69">
        <v>10</v>
      </c>
      <c r="B39" s="35" t="s">
        <v>69</v>
      </c>
      <c r="C39" s="35" t="s">
        <v>725</v>
      </c>
      <c r="D39" s="36" t="s">
        <v>44</v>
      </c>
      <c r="E39" s="45" t="s">
        <v>715</v>
      </c>
      <c r="F39" s="39" t="s">
        <v>794</v>
      </c>
      <c r="G39" s="37">
        <v>25</v>
      </c>
      <c r="H39" s="70">
        <f>SUM(G39:G41)</f>
        <v>59</v>
      </c>
      <c r="I39" s="71" t="s">
        <v>844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36.6" customHeight="1" x14ac:dyDescent="0.25">
      <c r="A40" s="69"/>
      <c r="B40" s="35" t="s">
        <v>84</v>
      </c>
      <c r="C40" s="35" t="s">
        <v>725</v>
      </c>
      <c r="D40" s="44" t="s">
        <v>716</v>
      </c>
      <c r="E40" s="45" t="s">
        <v>715</v>
      </c>
      <c r="F40" s="136" t="s">
        <v>965</v>
      </c>
      <c r="G40" s="37">
        <v>4</v>
      </c>
      <c r="H40" s="70"/>
      <c r="I40" s="7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41.4" customHeight="1" x14ac:dyDescent="0.25">
      <c r="A41" s="76"/>
      <c r="B41" s="35" t="s">
        <v>84</v>
      </c>
      <c r="C41" s="35" t="s">
        <v>725</v>
      </c>
      <c r="D41" s="36" t="s">
        <v>77</v>
      </c>
      <c r="E41" s="42" t="s">
        <v>723</v>
      </c>
      <c r="F41" s="55" t="s">
        <v>966</v>
      </c>
      <c r="G41" s="37">
        <v>30</v>
      </c>
      <c r="H41" s="70"/>
      <c r="I41" s="7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92.4" customHeight="1" x14ac:dyDescent="0.25">
      <c r="A42" s="69">
        <v>11</v>
      </c>
      <c r="B42" s="35" t="s">
        <v>32</v>
      </c>
      <c r="C42" s="35" t="s">
        <v>725</v>
      </c>
      <c r="D42" s="36" t="s">
        <v>44</v>
      </c>
      <c r="E42" s="45" t="s">
        <v>715</v>
      </c>
      <c r="F42" s="39" t="s">
        <v>795</v>
      </c>
      <c r="G42" s="37">
        <v>30</v>
      </c>
      <c r="H42" s="70">
        <f>SUM(G42:G43)</f>
        <v>60</v>
      </c>
      <c r="I42" s="71" t="s">
        <v>845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31.95" customHeight="1" x14ac:dyDescent="0.25">
      <c r="A43" s="69"/>
      <c r="B43" s="35" t="s">
        <v>84</v>
      </c>
      <c r="C43" s="35" t="s">
        <v>725</v>
      </c>
      <c r="D43" s="36" t="s">
        <v>77</v>
      </c>
      <c r="E43" s="42" t="s">
        <v>723</v>
      </c>
      <c r="F43" s="55" t="s">
        <v>967</v>
      </c>
      <c r="G43" s="37">
        <v>30</v>
      </c>
      <c r="H43" s="70"/>
      <c r="I43" s="71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91.2" customHeight="1" x14ac:dyDescent="0.25">
      <c r="A44" s="69">
        <v>12</v>
      </c>
      <c r="B44" s="35" t="s">
        <v>84</v>
      </c>
      <c r="C44" s="35" t="s">
        <v>725</v>
      </c>
      <c r="D44" s="36" t="s">
        <v>44</v>
      </c>
      <c r="E44" s="45" t="s">
        <v>715</v>
      </c>
      <c r="F44" s="39" t="s">
        <v>797</v>
      </c>
      <c r="G44" s="37">
        <v>30</v>
      </c>
      <c r="H44" s="70">
        <f>SUM(G44:G45)</f>
        <v>60</v>
      </c>
      <c r="I44" s="71" t="s">
        <v>846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31.95" customHeight="1" x14ac:dyDescent="0.25">
      <c r="A45" s="76"/>
      <c r="B45" s="35" t="s">
        <v>84</v>
      </c>
      <c r="C45" s="35" t="s">
        <v>725</v>
      </c>
      <c r="D45" s="36" t="s">
        <v>77</v>
      </c>
      <c r="E45" s="42" t="s">
        <v>723</v>
      </c>
      <c r="F45" s="55" t="s">
        <v>968</v>
      </c>
      <c r="G45" s="37">
        <v>30</v>
      </c>
      <c r="H45" s="70"/>
      <c r="I45" s="71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98.4" customHeight="1" x14ac:dyDescent="0.25">
      <c r="A46" s="69">
        <v>13</v>
      </c>
      <c r="B46" s="35" t="s">
        <v>84</v>
      </c>
      <c r="C46" s="35" t="s">
        <v>725</v>
      </c>
      <c r="D46" s="36" t="s">
        <v>44</v>
      </c>
      <c r="E46" s="45" t="s">
        <v>715</v>
      </c>
      <c r="F46" s="39" t="s">
        <v>798</v>
      </c>
      <c r="G46" s="37">
        <v>30</v>
      </c>
      <c r="H46" s="70">
        <f>SUM(G46:G47)</f>
        <v>60</v>
      </c>
      <c r="I46" s="71" t="s">
        <v>847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31.95" customHeight="1" x14ac:dyDescent="0.25">
      <c r="A47" s="76"/>
      <c r="B47" s="35" t="s">
        <v>84</v>
      </c>
      <c r="C47" s="35" t="s">
        <v>725</v>
      </c>
      <c r="D47" s="36" t="s">
        <v>77</v>
      </c>
      <c r="E47" s="42" t="s">
        <v>723</v>
      </c>
      <c r="F47" s="55" t="s">
        <v>969</v>
      </c>
      <c r="G47" s="37">
        <v>30</v>
      </c>
      <c r="H47" s="70"/>
      <c r="I47" s="71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90.6" customHeight="1" x14ac:dyDescent="0.25">
      <c r="A48" s="69">
        <v>14</v>
      </c>
      <c r="B48" s="35" t="s">
        <v>84</v>
      </c>
      <c r="C48" s="35" t="s">
        <v>725</v>
      </c>
      <c r="D48" s="36" t="s">
        <v>44</v>
      </c>
      <c r="E48" s="45" t="s">
        <v>715</v>
      </c>
      <c r="F48" s="39" t="s">
        <v>799</v>
      </c>
      <c r="G48" s="37">
        <v>30</v>
      </c>
      <c r="H48" s="70">
        <f>SUM(G48:G49)</f>
        <v>60</v>
      </c>
      <c r="I48" s="71" t="s">
        <v>848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31.95" customHeight="1" x14ac:dyDescent="0.25">
      <c r="A49" s="76"/>
      <c r="B49" s="35" t="s">
        <v>84</v>
      </c>
      <c r="C49" s="35" t="s">
        <v>725</v>
      </c>
      <c r="D49" s="36" t="s">
        <v>77</v>
      </c>
      <c r="E49" s="42" t="s">
        <v>723</v>
      </c>
      <c r="F49" s="55" t="s">
        <v>970</v>
      </c>
      <c r="G49" s="37">
        <v>30</v>
      </c>
      <c r="H49" s="70"/>
      <c r="I49" s="71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99" customHeight="1" x14ac:dyDescent="0.25">
      <c r="A50" s="69">
        <v>15</v>
      </c>
      <c r="B50" s="35" t="s">
        <v>84</v>
      </c>
      <c r="C50" s="35" t="s">
        <v>725</v>
      </c>
      <c r="D50" s="36" t="s">
        <v>44</v>
      </c>
      <c r="E50" s="45" t="s">
        <v>715</v>
      </c>
      <c r="F50" s="39" t="s">
        <v>800</v>
      </c>
      <c r="G50" s="37">
        <v>30</v>
      </c>
      <c r="H50" s="70">
        <f>SUM(G50:G51)</f>
        <v>60</v>
      </c>
      <c r="I50" s="71" t="s">
        <v>849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31.95" customHeight="1" x14ac:dyDescent="0.25">
      <c r="A51" s="76"/>
      <c r="B51" s="35" t="s">
        <v>84</v>
      </c>
      <c r="C51" s="35" t="s">
        <v>725</v>
      </c>
      <c r="D51" s="36" t="s">
        <v>77</v>
      </c>
      <c r="E51" s="42" t="s">
        <v>723</v>
      </c>
      <c r="F51" s="55" t="s">
        <v>971</v>
      </c>
      <c r="G51" s="37">
        <v>30</v>
      </c>
      <c r="H51" s="70"/>
      <c r="I51" s="71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44.4" customHeight="1" x14ac:dyDescent="0.25">
      <c r="A52" s="69">
        <v>16</v>
      </c>
      <c r="B52" s="35" t="s">
        <v>84</v>
      </c>
      <c r="C52" s="35" t="s">
        <v>725</v>
      </c>
      <c r="D52" s="36" t="s">
        <v>44</v>
      </c>
      <c r="E52" s="45" t="s">
        <v>715</v>
      </c>
      <c r="F52" s="39" t="s">
        <v>801</v>
      </c>
      <c r="G52" s="37">
        <v>11</v>
      </c>
      <c r="H52" s="79">
        <f>SUM(G52:G56)</f>
        <v>51</v>
      </c>
      <c r="I52" s="71" t="s">
        <v>850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38.4" customHeight="1" x14ac:dyDescent="0.25">
      <c r="A53" s="69"/>
      <c r="B53" s="35" t="s">
        <v>69</v>
      </c>
      <c r="C53" s="35" t="s">
        <v>725</v>
      </c>
      <c r="D53" s="36" t="s">
        <v>77</v>
      </c>
      <c r="E53" s="42" t="s">
        <v>723</v>
      </c>
      <c r="F53" s="39" t="s">
        <v>831</v>
      </c>
      <c r="G53" s="37">
        <v>4</v>
      </c>
      <c r="H53" s="79"/>
      <c r="I53" s="71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31.95" customHeight="1" x14ac:dyDescent="0.25">
      <c r="A54" s="69"/>
      <c r="B54" s="35" t="s">
        <v>84</v>
      </c>
      <c r="C54" s="35" t="s">
        <v>726</v>
      </c>
      <c r="D54" s="36" t="s">
        <v>731</v>
      </c>
      <c r="E54" s="45" t="s">
        <v>730</v>
      </c>
      <c r="F54" s="39" t="s">
        <v>972</v>
      </c>
      <c r="G54" s="37">
        <v>18</v>
      </c>
      <c r="H54" s="79"/>
      <c r="I54" s="71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31.95" customHeight="1" x14ac:dyDescent="0.25">
      <c r="A55" s="69"/>
      <c r="B55" s="35" t="s">
        <v>84</v>
      </c>
      <c r="C55" s="35" t="s">
        <v>725</v>
      </c>
      <c r="D55" s="36" t="s">
        <v>35</v>
      </c>
      <c r="E55" s="45" t="s">
        <v>720</v>
      </c>
      <c r="F55" s="43" t="s">
        <v>973</v>
      </c>
      <c r="G55" s="37">
        <v>13</v>
      </c>
      <c r="H55" s="79"/>
      <c r="I55" s="71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31.95" customHeight="1" x14ac:dyDescent="0.25">
      <c r="A56" s="69"/>
      <c r="B56" s="35" t="s">
        <v>84</v>
      </c>
      <c r="C56" s="35" t="s">
        <v>726</v>
      </c>
      <c r="D56" s="36" t="s">
        <v>729</v>
      </c>
      <c r="E56" s="45" t="s">
        <v>728</v>
      </c>
      <c r="F56" s="39" t="s">
        <v>974</v>
      </c>
      <c r="G56" s="37">
        <v>5</v>
      </c>
      <c r="H56" s="79"/>
      <c r="I56" s="71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90.6" customHeight="1" x14ac:dyDescent="0.25">
      <c r="A57" s="69">
        <v>17</v>
      </c>
      <c r="B57" s="35" t="s">
        <v>32</v>
      </c>
      <c r="C57" s="35" t="s">
        <v>725</v>
      </c>
      <c r="D57" s="36" t="s">
        <v>38</v>
      </c>
      <c r="E57" s="45" t="s">
        <v>715</v>
      </c>
      <c r="F57" s="39" t="s">
        <v>810</v>
      </c>
      <c r="G57" s="37">
        <v>30</v>
      </c>
      <c r="H57" s="70">
        <f>SUM(G57:G59)</f>
        <v>59</v>
      </c>
      <c r="I57" s="71" t="s">
        <v>851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31.95" customHeight="1" x14ac:dyDescent="0.25">
      <c r="A58" s="69"/>
      <c r="B58" s="35" t="s">
        <v>84</v>
      </c>
      <c r="C58" s="35" t="s">
        <v>726</v>
      </c>
      <c r="D58" s="36" t="s">
        <v>77</v>
      </c>
      <c r="E58" s="45" t="s">
        <v>727</v>
      </c>
      <c r="F58" s="39" t="s">
        <v>975</v>
      </c>
      <c r="G58" s="37">
        <v>21</v>
      </c>
      <c r="H58" s="70"/>
      <c r="I58" s="71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31.95" customHeight="1" x14ac:dyDescent="0.25">
      <c r="A59" s="69"/>
      <c r="B59" s="35" t="s">
        <v>84</v>
      </c>
      <c r="C59" s="35" t="s">
        <v>726</v>
      </c>
      <c r="D59" s="36" t="s">
        <v>738</v>
      </c>
      <c r="E59" s="45" t="s">
        <v>737</v>
      </c>
      <c r="F59" s="39" t="s">
        <v>976</v>
      </c>
      <c r="G59" s="37">
        <v>8</v>
      </c>
      <c r="H59" s="70"/>
      <c r="I59" s="71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36" x14ac:dyDescent="0.25">
      <c r="A60" s="69">
        <v>18</v>
      </c>
      <c r="B60" s="35" t="s">
        <v>32</v>
      </c>
      <c r="C60" s="35" t="s">
        <v>725</v>
      </c>
      <c r="D60" s="36" t="s">
        <v>38</v>
      </c>
      <c r="E60" s="45" t="s">
        <v>715</v>
      </c>
      <c r="F60" s="39" t="s">
        <v>811</v>
      </c>
      <c r="G60" s="37">
        <v>7</v>
      </c>
      <c r="H60" s="70">
        <f>SUM(G60:G64)</f>
        <v>60</v>
      </c>
      <c r="I60" s="71" t="s">
        <v>852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54" x14ac:dyDescent="0.25">
      <c r="A61" s="69"/>
      <c r="B61" s="35" t="s">
        <v>84</v>
      </c>
      <c r="C61" s="35" t="s">
        <v>725</v>
      </c>
      <c r="D61" s="36" t="s">
        <v>38</v>
      </c>
      <c r="E61" s="45" t="s">
        <v>715</v>
      </c>
      <c r="F61" s="39" t="s">
        <v>813</v>
      </c>
      <c r="G61" s="37">
        <v>21</v>
      </c>
      <c r="H61" s="70"/>
      <c r="I61" s="71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26.4" customHeight="1" x14ac:dyDescent="0.25">
      <c r="A62" s="69"/>
      <c r="B62" s="35" t="s">
        <v>84</v>
      </c>
      <c r="C62" s="35" t="s">
        <v>726</v>
      </c>
      <c r="D62" s="36" t="s">
        <v>735</v>
      </c>
      <c r="E62" s="43" t="s">
        <v>734</v>
      </c>
      <c r="F62" s="43" t="s">
        <v>977</v>
      </c>
      <c r="G62" s="37">
        <v>7</v>
      </c>
      <c r="H62" s="70"/>
      <c r="I62" s="71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30" customHeight="1" x14ac:dyDescent="0.25">
      <c r="A63" s="69"/>
      <c r="B63" s="35" t="s">
        <v>834</v>
      </c>
      <c r="C63" s="35" t="s">
        <v>834</v>
      </c>
      <c r="D63" s="36" t="s">
        <v>735</v>
      </c>
      <c r="E63" s="43" t="s">
        <v>734</v>
      </c>
      <c r="F63" s="43" t="s">
        <v>978</v>
      </c>
      <c r="G63" s="37">
        <v>1</v>
      </c>
      <c r="H63" s="70"/>
      <c r="I63" s="71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78" customHeight="1" x14ac:dyDescent="0.25">
      <c r="A64" s="69"/>
      <c r="B64" s="35" t="s">
        <v>32</v>
      </c>
      <c r="C64" s="35" t="s">
        <v>725</v>
      </c>
      <c r="D64" s="36" t="s">
        <v>77</v>
      </c>
      <c r="E64" s="42" t="s">
        <v>723</v>
      </c>
      <c r="F64" s="52" t="s">
        <v>832</v>
      </c>
      <c r="G64" s="37">
        <v>24</v>
      </c>
      <c r="H64" s="70"/>
      <c r="I64" s="71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85.8" customHeight="1" x14ac:dyDescent="0.25">
      <c r="A65" s="49">
        <v>19</v>
      </c>
      <c r="B65" s="35" t="s">
        <v>84</v>
      </c>
      <c r="C65" s="35" t="s">
        <v>725</v>
      </c>
      <c r="D65" s="36" t="s">
        <v>38</v>
      </c>
      <c r="E65" s="45" t="s">
        <v>715</v>
      </c>
      <c r="F65" s="39" t="s">
        <v>812</v>
      </c>
      <c r="G65" s="37">
        <v>30</v>
      </c>
      <c r="H65" s="50">
        <f>SUM(G65:G65)</f>
        <v>30</v>
      </c>
      <c r="I65" s="51" t="s">
        <v>853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34.950000000000003" customHeight="1" x14ac:dyDescent="0.25">
      <c r="A66" s="69">
        <v>20</v>
      </c>
      <c r="B66" s="35" t="s">
        <v>69</v>
      </c>
      <c r="C66" s="35" t="s">
        <v>725</v>
      </c>
      <c r="D66" s="36" t="s">
        <v>38</v>
      </c>
      <c r="E66" s="45" t="s">
        <v>715</v>
      </c>
      <c r="F66" s="39" t="s">
        <v>809</v>
      </c>
      <c r="G66" s="37">
        <v>12</v>
      </c>
      <c r="H66" s="79">
        <f>SUM(G66:G69)</f>
        <v>30</v>
      </c>
      <c r="I66" s="71" t="s">
        <v>854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34.950000000000003" customHeight="1" x14ac:dyDescent="0.25">
      <c r="A67" s="69"/>
      <c r="B67" s="35" t="s">
        <v>69</v>
      </c>
      <c r="C67" s="35" t="s">
        <v>725</v>
      </c>
      <c r="D67" s="36" t="s">
        <v>11</v>
      </c>
      <c r="E67" s="45" t="s">
        <v>715</v>
      </c>
      <c r="F67" s="39" t="s">
        <v>806</v>
      </c>
      <c r="G67" s="37">
        <v>5</v>
      </c>
      <c r="H67" s="79"/>
      <c r="I67" s="71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34.950000000000003" customHeight="1" x14ac:dyDescent="0.25">
      <c r="A68" s="69"/>
      <c r="B68" s="35" t="s">
        <v>69</v>
      </c>
      <c r="C68" s="35" t="s">
        <v>725</v>
      </c>
      <c r="D68" s="36" t="s">
        <v>716</v>
      </c>
      <c r="E68" s="45" t="s">
        <v>715</v>
      </c>
      <c r="F68" s="39" t="s">
        <v>805</v>
      </c>
      <c r="G68" s="37">
        <v>3</v>
      </c>
      <c r="H68" s="79"/>
      <c r="I68" s="71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34.950000000000003" customHeight="1" x14ac:dyDescent="0.25">
      <c r="A69" s="69"/>
      <c r="B69" s="35" t="s">
        <v>69</v>
      </c>
      <c r="C69" s="35" t="s">
        <v>725</v>
      </c>
      <c r="D69" s="36" t="s">
        <v>719</v>
      </c>
      <c r="E69" s="45" t="s">
        <v>715</v>
      </c>
      <c r="F69" s="39" t="s">
        <v>779</v>
      </c>
      <c r="G69" s="37">
        <v>10</v>
      </c>
      <c r="H69" s="79"/>
      <c r="I69" s="71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31.95" customHeight="1" x14ac:dyDescent="0.25">
      <c r="A70" s="49">
        <v>21</v>
      </c>
      <c r="B70" s="35" t="s">
        <v>84</v>
      </c>
      <c r="C70" s="35" t="s">
        <v>725</v>
      </c>
      <c r="D70" s="36" t="s">
        <v>11</v>
      </c>
      <c r="E70" s="45" t="s">
        <v>715</v>
      </c>
      <c r="F70" s="138" t="s">
        <v>1032</v>
      </c>
      <c r="G70" s="37">
        <v>27</v>
      </c>
      <c r="H70" s="50">
        <f>SUM(G70:G70)</f>
        <v>27</v>
      </c>
      <c r="I70" s="51" t="s">
        <v>855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31.95" customHeight="1" x14ac:dyDescent="0.25">
      <c r="A71" s="69">
        <v>22</v>
      </c>
      <c r="B71" s="35" t="s">
        <v>84</v>
      </c>
      <c r="C71" s="35" t="s">
        <v>725</v>
      </c>
      <c r="D71" s="36" t="s">
        <v>11</v>
      </c>
      <c r="E71" s="45" t="s">
        <v>715</v>
      </c>
      <c r="F71" s="138" t="s">
        <v>1018</v>
      </c>
      <c r="G71" s="37">
        <v>27</v>
      </c>
      <c r="H71" s="70">
        <f>SUM(G71:G72)</f>
        <v>29</v>
      </c>
      <c r="I71" s="71" t="s">
        <v>856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31.95" customHeight="1" x14ac:dyDescent="0.25">
      <c r="A72" s="69"/>
      <c r="B72" s="35" t="s">
        <v>32</v>
      </c>
      <c r="C72" s="35" t="s">
        <v>725</v>
      </c>
      <c r="D72" s="36" t="s">
        <v>11</v>
      </c>
      <c r="E72" s="45" t="s">
        <v>715</v>
      </c>
      <c r="F72" s="39" t="s">
        <v>808</v>
      </c>
      <c r="G72" s="37">
        <v>2</v>
      </c>
      <c r="H72" s="70"/>
      <c r="I72" s="71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72" x14ac:dyDescent="0.25">
      <c r="A73" s="49">
        <v>23</v>
      </c>
      <c r="B73" s="35" t="s">
        <v>84</v>
      </c>
      <c r="C73" s="35" t="s">
        <v>725</v>
      </c>
      <c r="D73" s="36" t="s">
        <v>718</v>
      </c>
      <c r="E73" s="45" t="s">
        <v>715</v>
      </c>
      <c r="F73" s="139" t="s">
        <v>787</v>
      </c>
      <c r="G73" s="37">
        <v>30</v>
      </c>
      <c r="H73" s="50">
        <f>SUM(G73:G73)</f>
        <v>30</v>
      </c>
      <c r="I73" s="51" t="s">
        <v>857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72" x14ac:dyDescent="0.25">
      <c r="A74" s="69">
        <v>24</v>
      </c>
      <c r="B74" s="35" t="s">
        <v>32</v>
      </c>
      <c r="C74" s="35" t="s">
        <v>725</v>
      </c>
      <c r="D74" s="36" t="s">
        <v>718</v>
      </c>
      <c r="E74" s="45" t="s">
        <v>715</v>
      </c>
      <c r="F74" s="139" t="s">
        <v>788</v>
      </c>
      <c r="G74" s="37">
        <v>26</v>
      </c>
      <c r="H74" s="70">
        <f>SUM(G74:G76)</f>
        <v>30</v>
      </c>
      <c r="I74" s="71" t="s">
        <v>858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30" customHeight="1" x14ac:dyDescent="0.25">
      <c r="A75" s="69"/>
      <c r="B75" s="35" t="s">
        <v>32</v>
      </c>
      <c r="C75" s="35" t="s">
        <v>725</v>
      </c>
      <c r="D75" s="36" t="s">
        <v>10</v>
      </c>
      <c r="E75" s="45" t="s">
        <v>715</v>
      </c>
      <c r="F75" s="139" t="s">
        <v>790</v>
      </c>
      <c r="G75" s="37">
        <v>2</v>
      </c>
      <c r="H75" s="70"/>
      <c r="I75" s="71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31.95" customHeight="1" x14ac:dyDescent="0.25">
      <c r="A76" s="76"/>
      <c r="B76" s="35" t="s">
        <v>69</v>
      </c>
      <c r="C76" s="35" t="s">
        <v>725</v>
      </c>
      <c r="D76" s="36" t="s">
        <v>10</v>
      </c>
      <c r="E76" s="45" t="s">
        <v>715</v>
      </c>
      <c r="F76" s="43" t="s">
        <v>791</v>
      </c>
      <c r="G76" s="37">
        <v>2</v>
      </c>
      <c r="H76" s="70"/>
      <c r="I76" s="71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54" x14ac:dyDescent="0.25">
      <c r="A77" s="69">
        <v>25</v>
      </c>
      <c r="B77" s="35" t="s">
        <v>69</v>
      </c>
      <c r="C77" s="35" t="s">
        <v>725</v>
      </c>
      <c r="D77" s="36" t="s">
        <v>34</v>
      </c>
      <c r="E77" s="42" t="s">
        <v>736</v>
      </c>
      <c r="F77" s="140" t="s">
        <v>827</v>
      </c>
      <c r="G77" s="37">
        <v>18</v>
      </c>
      <c r="H77" s="70">
        <f>SUM(G77:G79)</f>
        <v>30</v>
      </c>
      <c r="I77" s="71" t="s">
        <v>859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52.2" customHeight="1" x14ac:dyDescent="0.25">
      <c r="A78" s="69"/>
      <c r="B78" s="35" t="s">
        <v>69</v>
      </c>
      <c r="C78" s="35" t="s">
        <v>725</v>
      </c>
      <c r="D78" s="36" t="s">
        <v>35</v>
      </c>
      <c r="E78" s="45" t="s">
        <v>720</v>
      </c>
      <c r="F78" s="52" t="s">
        <v>815</v>
      </c>
      <c r="G78" s="37">
        <v>7</v>
      </c>
      <c r="H78" s="70"/>
      <c r="I78" s="71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31.95" customHeight="1" x14ac:dyDescent="0.25">
      <c r="A79" s="76"/>
      <c r="B79" s="35" t="s">
        <v>84</v>
      </c>
      <c r="C79" s="35" t="s">
        <v>726</v>
      </c>
      <c r="D79" s="36" t="s">
        <v>733</v>
      </c>
      <c r="E79" s="45" t="s">
        <v>732</v>
      </c>
      <c r="F79" s="39" t="s">
        <v>979</v>
      </c>
      <c r="G79" s="37">
        <v>5</v>
      </c>
      <c r="H79" s="70"/>
      <c r="I79" s="71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91.8" customHeight="1" x14ac:dyDescent="0.25">
      <c r="A80" s="61">
        <v>26</v>
      </c>
      <c r="B80" s="35" t="s">
        <v>32</v>
      </c>
      <c r="C80" s="35" t="s">
        <v>725</v>
      </c>
      <c r="D80" s="36" t="s">
        <v>719</v>
      </c>
      <c r="E80" s="45" t="s">
        <v>715</v>
      </c>
      <c r="F80" s="52" t="s">
        <v>781</v>
      </c>
      <c r="G80" s="37">
        <v>30</v>
      </c>
      <c r="H80" s="60">
        <f>SUM(G80:G80)</f>
        <v>30</v>
      </c>
      <c r="I80" s="59" t="s">
        <v>860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56.4" customHeight="1" x14ac:dyDescent="0.25">
      <c r="A81" s="69">
        <v>27</v>
      </c>
      <c r="B81" s="35" t="s">
        <v>32</v>
      </c>
      <c r="C81" s="35" t="s">
        <v>725</v>
      </c>
      <c r="D81" s="36" t="s">
        <v>719</v>
      </c>
      <c r="E81" s="45" t="s">
        <v>715</v>
      </c>
      <c r="F81" s="52" t="s">
        <v>782</v>
      </c>
      <c r="G81" s="37">
        <v>14</v>
      </c>
      <c r="H81" s="70">
        <f>SUM(G81:G83)</f>
        <v>30</v>
      </c>
      <c r="I81" s="71" t="s">
        <v>861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51.6" customHeight="1" x14ac:dyDescent="0.25">
      <c r="A82" s="69"/>
      <c r="B82" s="35" t="s">
        <v>32</v>
      </c>
      <c r="C82" s="35" t="s">
        <v>725</v>
      </c>
      <c r="D82" s="36" t="s">
        <v>35</v>
      </c>
      <c r="E82" s="45" t="s">
        <v>720</v>
      </c>
      <c r="F82" s="52" t="s">
        <v>816</v>
      </c>
      <c r="G82" s="37">
        <v>7</v>
      </c>
      <c r="H82" s="70"/>
      <c r="I82" s="71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39" customHeight="1" x14ac:dyDescent="0.25">
      <c r="A83" s="76"/>
      <c r="B83" s="35" t="s">
        <v>32</v>
      </c>
      <c r="C83" s="35" t="s">
        <v>725</v>
      </c>
      <c r="D83" s="36" t="s">
        <v>34</v>
      </c>
      <c r="E83" s="42" t="s">
        <v>736</v>
      </c>
      <c r="F83" s="140" t="s">
        <v>828</v>
      </c>
      <c r="G83" s="37">
        <v>9</v>
      </c>
      <c r="H83" s="70"/>
      <c r="I83" s="71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72" x14ac:dyDescent="0.25">
      <c r="A84" s="49">
        <v>28</v>
      </c>
      <c r="B84" s="35" t="s">
        <v>84</v>
      </c>
      <c r="C84" s="35" t="s">
        <v>725</v>
      </c>
      <c r="D84" s="36" t="s">
        <v>719</v>
      </c>
      <c r="E84" s="45" t="s">
        <v>715</v>
      </c>
      <c r="F84" s="52" t="s">
        <v>784</v>
      </c>
      <c r="G84" s="66">
        <v>30</v>
      </c>
      <c r="H84" s="50">
        <f>SUM(G84:G84)</f>
        <v>30</v>
      </c>
      <c r="I84" s="51" t="s">
        <v>862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31.95" customHeight="1" x14ac:dyDescent="0.25">
      <c r="A85" s="69">
        <v>29</v>
      </c>
      <c r="B85" s="35" t="s">
        <v>69</v>
      </c>
      <c r="C85" s="35" t="s">
        <v>725</v>
      </c>
      <c r="D85" s="36" t="s">
        <v>719</v>
      </c>
      <c r="E85" s="45" t="s">
        <v>715</v>
      </c>
      <c r="F85" s="43" t="s">
        <v>780</v>
      </c>
      <c r="G85" s="37">
        <v>2</v>
      </c>
      <c r="H85" s="70">
        <f>SUM(G85:G87)</f>
        <v>30</v>
      </c>
      <c r="I85" s="71" t="s">
        <v>863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31.95" customHeight="1" x14ac:dyDescent="0.25">
      <c r="A86" s="69"/>
      <c r="B86" s="35" t="s">
        <v>32</v>
      </c>
      <c r="C86" s="35" t="s">
        <v>725</v>
      </c>
      <c r="D86" s="36" t="s">
        <v>34</v>
      </c>
      <c r="E86" s="42" t="s">
        <v>736</v>
      </c>
      <c r="F86" s="140" t="s">
        <v>829</v>
      </c>
      <c r="G86" s="37">
        <v>4</v>
      </c>
      <c r="H86" s="70"/>
      <c r="I86" s="71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72" x14ac:dyDescent="0.25">
      <c r="A87" s="69"/>
      <c r="B87" s="35" t="s">
        <v>32</v>
      </c>
      <c r="C87" s="35" t="s">
        <v>725</v>
      </c>
      <c r="D87" s="36" t="s">
        <v>54</v>
      </c>
      <c r="E87" s="45" t="s">
        <v>720</v>
      </c>
      <c r="F87" s="52" t="s">
        <v>819</v>
      </c>
      <c r="G87" s="37">
        <v>24</v>
      </c>
      <c r="H87" s="70"/>
      <c r="I87" s="71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54" x14ac:dyDescent="0.25">
      <c r="A88" s="69">
        <v>30</v>
      </c>
      <c r="B88" s="35" t="s">
        <v>84</v>
      </c>
      <c r="C88" s="35" t="s">
        <v>725</v>
      </c>
      <c r="D88" s="36" t="s">
        <v>721</v>
      </c>
      <c r="E88" s="45" t="s">
        <v>720</v>
      </c>
      <c r="F88" s="52" t="s">
        <v>823</v>
      </c>
      <c r="G88" s="37">
        <v>22</v>
      </c>
      <c r="H88" s="70">
        <f t="shared" ref="H88" si="0">SUM(G88:G90)</f>
        <v>30</v>
      </c>
      <c r="I88" s="71" t="s">
        <v>864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31.95" customHeight="1" x14ac:dyDescent="0.25">
      <c r="A89" s="69"/>
      <c r="B89" s="35" t="s">
        <v>69</v>
      </c>
      <c r="C89" s="35" t="s">
        <v>725</v>
      </c>
      <c r="D89" s="36" t="s">
        <v>721</v>
      </c>
      <c r="E89" s="45" t="s">
        <v>720</v>
      </c>
      <c r="F89" s="43" t="s">
        <v>824</v>
      </c>
      <c r="G89" s="37">
        <v>2</v>
      </c>
      <c r="H89" s="70"/>
      <c r="I89" s="71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43.8" customHeight="1" x14ac:dyDescent="0.25">
      <c r="A90" s="76"/>
      <c r="B90" s="35" t="s">
        <v>32</v>
      </c>
      <c r="C90" s="35" t="s">
        <v>725</v>
      </c>
      <c r="D90" s="36" t="s">
        <v>721</v>
      </c>
      <c r="E90" s="45" t="s">
        <v>720</v>
      </c>
      <c r="F90" s="52" t="s">
        <v>825</v>
      </c>
      <c r="G90" s="37">
        <v>6</v>
      </c>
      <c r="H90" s="70"/>
      <c r="I90" s="71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36" x14ac:dyDescent="0.25">
      <c r="A91" s="69">
        <v>31</v>
      </c>
      <c r="B91" s="35" t="s">
        <v>32</v>
      </c>
      <c r="C91" s="35" t="s">
        <v>725</v>
      </c>
      <c r="D91" s="36" t="s">
        <v>721</v>
      </c>
      <c r="E91" s="45" t="s">
        <v>720</v>
      </c>
      <c r="F91" s="52" t="s">
        <v>826</v>
      </c>
      <c r="G91" s="37">
        <v>7</v>
      </c>
      <c r="H91" s="70">
        <f t="shared" ref="H91" si="1">SUM(G91:G94)</f>
        <v>30</v>
      </c>
      <c r="I91" s="71" t="s">
        <v>865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54.6" customHeight="1" x14ac:dyDescent="0.25">
      <c r="A92" s="69"/>
      <c r="B92" s="35" t="s">
        <v>84</v>
      </c>
      <c r="C92" s="35" t="s">
        <v>725</v>
      </c>
      <c r="D92" s="36" t="s">
        <v>33</v>
      </c>
      <c r="E92" s="45" t="s">
        <v>720</v>
      </c>
      <c r="F92" s="52" t="s">
        <v>822</v>
      </c>
      <c r="G92" s="37">
        <v>14</v>
      </c>
      <c r="H92" s="70"/>
      <c r="I92" s="71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48.6" customHeight="1" x14ac:dyDescent="0.25">
      <c r="A93" s="69"/>
      <c r="B93" s="35" t="s">
        <v>32</v>
      </c>
      <c r="C93" s="35" t="s">
        <v>725</v>
      </c>
      <c r="D93" s="36" t="s">
        <v>33</v>
      </c>
      <c r="E93" s="45" t="s">
        <v>720</v>
      </c>
      <c r="F93" s="52" t="s">
        <v>821</v>
      </c>
      <c r="G93" s="37">
        <v>6</v>
      </c>
      <c r="H93" s="70"/>
      <c r="I93" s="71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31.95" customHeight="1" x14ac:dyDescent="0.25">
      <c r="A94" s="76"/>
      <c r="B94" s="35" t="s">
        <v>69</v>
      </c>
      <c r="C94" s="35" t="s">
        <v>725</v>
      </c>
      <c r="D94" s="36" t="s">
        <v>33</v>
      </c>
      <c r="E94" s="45" t="s">
        <v>720</v>
      </c>
      <c r="F94" s="43" t="s">
        <v>820</v>
      </c>
      <c r="G94" s="37">
        <v>3</v>
      </c>
      <c r="H94" s="70"/>
      <c r="I94" s="71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31.95" customHeight="1" x14ac:dyDescent="0.25">
      <c r="A95" s="49">
        <v>32</v>
      </c>
      <c r="B95" s="35" t="s">
        <v>84</v>
      </c>
      <c r="C95" s="35" t="s">
        <v>725</v>
      </c>
      <c r="D95" s="36" t="s">
        <v>54</v>
      </c>
      <c r="E95" s="45" t="s">
        <v>720</v>
      </c>
      <c r="F95" s="43" t="s">
        <v>1016</v>
      </c>
      <c r="G95" s="37">
        <v>29</v>
      </c>
      <c r="H95" s="50">
        <f>SUM(G95:G95)</f>
        <v>29</v>
      </c>
      <c r="I95" s="51" t="s">
        <v>866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31.95" customHeight="1" x14ac:dyDescent="0.25">
      <c r="A96" s="49">
        <v>33</v>
      </c>
      <c r="B96" s="35" t="s">
        <v>84</v>
      </c>
      <c r="C96" s="35" t="s">
        <v>725</v>
      </c>
      <c r="D96" s="36" t="s">
        <v>54</v>
      </c>
      <c r="E96" s="45" t="s">
        <v>720</v>
      </c>
      <c r="F96" s="43" t="s">
        <v>980</v>
      </c>
      <c r="G96" s="37">
        <v>30</v>
      </c>
      <c r="H96" s="50">
        <f>SUM(G96:G96)</f>
        <v>30</v>
      </c>
      <c r="I96" s="51" t="s">
        <v>867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31.95" customHeight="1" x14ac:dyDescent="0.25">
      <c r="A97" s="49">
        <v>34</v>
      </c>
      <c r="B97" s="35" t="s">
        <v>84</v>
      </c>
      <c r="C97" s="35" t="s">
        <v>725</v>
      </c>
      <c r="D97" s="36" t="s">
        <v>54</v>
      </c>
      <c r="E97" s="57" t="s">
        <v>720</v>
      </c>
      <c r="F97" s="43" t="s">
        <v>981</v>
      </c>
      <c r="G97" s="37">
        <v>30</v>
      </c>
      <c r="H97" s="65">
        <f>SUM(G97:G97)</f>
        <v>30</v>
      </c>
      <c r="I97" s="68" t="s">
        <v>868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31.95" customHeight="1" x14ac:dyDescent="0.25">
      <c r="A98" s="49">
        <v>35</v>
      </c>
      <c r="B98" s="35" t="s">
        <v>84</v>
      </c>
      <c r="C98" s="35" t="s">
        <v>725</v>
      </c>
      <c r="D98" s="36" t="s">
        <v>54</v>
      </c>
      <c r="E98" s="57" t="s">
        <v>720</v>
      </c>
      <c r="F98" s="43" t="s">
        <v>982</v>
      </c>
      <c r="G98" s="37">
        <v>27</v>
      </c>
      <c r="H98" s="65">
        <f>SUM(G98:G98)</f>
        <v>27</v>
      </c>
      <c r="I98" s="68" t="s">
        <v>869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31.95" customHeight="1" x14ac:dyDescent="0.25">
      <c r="A99" s="69">
        <v>36</v>
      </c>
      <c r="B99" s="35" t="s">
        <v>84</v>
      </c>
      <c r="C99" s="35" t="s">
        <v>725</v>
      </c>
      <c r="D99" s="36" t="s">
        <v>54</v>
      </c>
      <c r="E99" s="45" t="s">
        <v>720</v>
      </c>
      <c r="F99" s="43" t="s">
        <v>1017</v>
      </c>
      <c r="G99" s="37">
        <v>12</v>
      </c>
      <c r="H99" s="70">
        <f>SUM(G99:G101)</f>
        <v>24</v>
      </c>
      <c r="I99" s="71" t="s">
        <v>870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36" x14ac:dyDescent="0.25">
      <c r="A100" s="69"/>
      <c r="B100" s="35" t="s">
        <v>69</v>
      </c>
      <c r="C100" s="35" t="s">
        <v>725</v>
      </c>
      <c r="D100" s="36" t="s">
        <v>54</v>
      </c>
      <c r="E100" s="45" t="s">
        <v>720</v>
      </c>
      <c r="F100" s="52" t="s">
        <v>818</v>
      </c>
      <c r="G100" s="37">
        <v>9</v>
      </c>
      <c r="H100" s="70"/>
      <c r="I100" s="71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31.95" customHeight="1" x14ac:dyDescent="0.25">
      <c r="A101" s="69"/>
      <c r="B101" s="35" t="s">
        <v>69</v>
      </c>
      <c r="C101" s="35" t="s">
        <v>725</v>
      </c>
      <c r="D101" s="36" t="s">
        <v>35</v>
      </c>
      <c r="E101" s="45" t="s">
        <v>720</v>
      </c>
      <c r="F101" s="43" t="s">
        <v>814</v>
      </c>
      <c r="G101" s="37">
        <v>3</v>
      </c>
      <c r="H101" s="70"/>
      <c r="I101" s="71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31.95" customHeight="1" x14ac:dyDescent="0.25">
      <c r="A102" s="49">
        <v>37</v>
      </c>
      <c r="B102" s="35" t="s">
        <v>84</v>
      </c>
      <c r="C102" s="35" t="s">
        <v>725</v>
      </c>
      <c r="D102" s="36" t="s">
        <v>35</v>
      </c>
      <c r="E102" s="45" t="s">
        <v>720</v>
      </c>
      <c r="F102" s="43" t="s">
        <v>983</v>
      </c>
      <c r="G102" s="37">
        <v>27</v>
      </c>
      <c r="H102" s="50">
        <f t="shared" ref="H102:H120" si="2">SUM(G102:G102)</f>
        <v>27</v>
      </c>
      <c r="I102" s="51" t="s">
        <v>871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31.95" customHeight="1" x14ac:dyDescent="0.25">
      <c r="A103" s="49">
        <v>38</v>
      </c>
      <c r="B103" s="35" t="s">
        <v>84</v>
      </c>
      <c r="C103" s="35" t="s">
        <v>725</v>
      </c>
      <c r="D103" s="36" t="s">
        <v>35</v>
      </c>
      <c r="E103" s="45" t="s">
        <v>720</v>
      </c>
      <c r="F103" s="43" t="s">
        <v>984</v>
      </c>
      <c r="G103" s="37">
        <v>27</v>
      </c>
      <c r="H103" s="50">
        <f t="shared" si="2"/>
        <v>27</v>
      </c>
      <c r="I103" s="51" t="s">
        <v>872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31.95" customHeight="1" x14ac:dyDescent="0.25">
      <c r="A104" s="49">
        <v>39</v>
      </c>
      <c r="B104" s="35" t="s">
        <v>84</v>
      </c>
      <c r="C104" s="35" t="s">
        <v>725</v>
      </c>
      <c r="D104" s="36" t="s">
        <v>35</v>
      </c>
      <c r="E104" s="45" t="s">
        <v>720</v>
      </c>
      <c r="F104" s="43" t="s">
        <v>985</v>
      </c>
      <c r="G104" s="37">
        <v>27</v>
      </c>
      <c r="H104" s="50">
        <f t="shared" si="2"/>
        <v>27</v>
      </c>
      <c r="I104" s="51" t="s">
        <v>873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31.95" customHeight="1" x14ac:dyDescent="0.25">
      <c r="A105" s="49">
        <v>40</v>
      </c>
      <c r="B105" s="35" t="s">
        <v>84</v>
      </c>
      <c r="C105" s="35" t="s">
        <v>725</v>
      </c>
      <c r="D105" s="36" t="s">
        <v>35</v>
      </c>
      <c r="E105" s="45" t="s">
        <v>720</v>
      </c>
      <c r="F105" s="43" t="s">
        <v>986</v>
      </c>
      <c r="G105" s="37">
        <v>27</v>
      </c>
      <c r="H105" s="50">
        <f t="shared" si="2"/>
        <v>27</v>
      </c>
      <c r="I105" s="51" t="s">
        <v>874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31.95" customHeight="1" x14ac:dyDescent="0.25">
      <c r="A106" s="49">
        <v>41</v>
      </c>
      <c r="B106" s="35" t="s">
        <v>84</v>
      </c>
      <c r="C106" s="35" t="s">
        <v>725</v>
      </c>
      <c r="D106" s="36" t="s">
        <v>35</v>
      </c>
      <c r="E106" s="45" t="s">
        <v>720</v>
      </c>
      <c r="F106" s="43" t="s">
        <v>987</v>
      </c>
      <c r="G106" s="37">
        <v>27</v>
      </c>
      <c r="H106" s="50">
        <f t="shared" si="2"/>
        <v>27</v>
      </c>
      <c r="I106" s="51" t="s">
        <v>875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31.95" customHeight="1" x14ac:dyDescent="0.25">
      <c r="A107" s="49">
        <v>42</v>
      </c>
      <c r="B107" s="35" t="s">
        <v>84</v>
      </c>
      <c r="C107" s="35" t="s">
        <v>725</v>
      </c>
      <c r="D107" s="36" t="s">
        <v>35</v>
      </c>
      <c r="E107" s="45" t="s">
        <v>720</v>
      </c>
      <c r="F107" s="43" t="s">
        <v>1012</v>
      </c>
      <c r="G107" s="37">
        <v>26</v>
      </c>
      <c r="H107" s="50">
        <f t="shared" si="2"/>
        <v>26</v>
      </c>
      <c r="I107" s="51" t="s">
        <v>876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31.95" customHeight="1" x14ac:dyDescent="0.25">
      <c r="A108" s="49">
        <v>43</v>
      </c>
      <c r="B108" s="35" t="s">
        <v>84</v>
      </c>
      <c r="C108" s="35" t="s">
        <v>725</v>
      </c>
      <c r="D108" s="36" t="s">
        <v>35</v>
      </c>
      <c r="E108" s="45" t="s">
        <v>720</v>
      </c>
      <c r="F108" s="43" t="s">
        <v>988</v>
      </c>
      <c r="G108" s="37">
        <v>27</v>
      </c>
      <c r="H108" s="50">
        <f t="shared" si="2"/>
        <v>27</v>
      </c>
      <c r="I108" s="51" t="s">
        <v>877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31.95" customHeight="1" x14ac:dyDescent="0.25">
      <c r="A109" s="49">
        <v>44</v>
      </c>
      <c r="B109" s="35" t="s">
        <v>84</v>
      </c>
      <c r="C109" s="35" t="s">
        <v>725</v>
      </c>
      <c r="D109" s="36" t="s">
        <v>35</v>
      </c>
      <c r="E109" s="45" t="s">
        <v>720</v>
      </c>
      <c r="F109" s="43" t="s">
        <v>989</v>
      </c>
      <c r="G109" s="37">
        <v>27</v>
      </c>
      <c r="H109" s="50">
        <f t="shared" si="2"/>
        <v>27</v>
      </c>
      <c r="I109" s="51" t="s">
        <v>878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31.95" customHeight="1" x14ac:dyDescent="0.25">
      <c r="A110" s="49">
        <v>45</v>
      </c>
      <c r="B110" s="35" t="s">
        <v>84</v>
      </c>
      <c r="C110" s="35" t="s">
        <v>725</v>
      </c>
      <c r="D110" s="36" t="s">
        <v>35</v>
      </c>
      <c r="E110" s="45" t="s">
        <v>720</v>
      </c>
      <c r="F110" s="43" t="s">
        <v>990</v>
      </c>
      <c r="G110" s="37">
        <v>27</v>
      </c>
      <c r="H110" s="50">
        <f t="shared" si="2"/>
        <v>27</v>
      </c>
      <c r="I110" s="51" t="s">
        <v>879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31.95" customHeight="1" x14ac:dyDescent="0.25">
      <c r="A111" s="49">
        <v>46</v>
      </c>
      <c r="B111" s="35" t="s">
        <v>84</v>
      </c>
      <c r="C111" s="35" t="s">
        <v>725</v>
      </c>
      <c r="D111" s="36" t="s">
        <v>35</v>
      </c>
      <c r="E111" s="45" t="s">
        <v>720</v>
      </c>
      <c r="F111" s="43" t="s">
        <v>991</v>
      </c>
      <c r="G111" s="37">
        <v>27</v>
      </c>
      <c r="H111" s="50">
        <f t="shared" si="2"/>
        <v>27</v>
      </c>
      <c r="I111" s="51" t="s">
        <v>880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31.95" customHeight="1" x14ac:dyDescent="0.25">
      <c r="A112" s="49">
        <v>47</v>
      </c>
      <c r="B112" s="35" t="s">
        <v>84</v>
      </c>
      <c r="C112" s="35" t="s">
        <v>725</v>
      </c>
      <c r="D112" s="36" t="s">
        <v>35</v>
      </c>
      <c r="E112" s="45" t="s">
        <v>720</v>
      </c>
      <c r="F112" s="43" t="s">
        <v>1013</v>
      </c>
      <c r="G112" s="37">
        <v>26</v>
      </c>
      <c r="H112" s="50">
        <f t="shared" si="2"/>
        <v>26</v>
      </c>
      <c r="I112" s="51" t="s">
        <v>881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31.95" customHeight="1" x14ac:dyDescent="0.25">
      <c r="A113" s="49">
        <v>48</v>
      </c>
      <c r="B113" s="35" t="s">
        <v>84</v>
      </c>
      <c r="C113" s="35" t="s">
        <v>725</v>
      </c>
      <c r="D113" s="36" t="s">
        <v>35</v>
      </c>
      <c r="E113" s="45" t="s">
        <v>720</v>
      </c>
      <c r="F113" s="43" t="s">
        <v>992</v>
      </c>
      <c r="G113" s="37">
        <v>27</v>
      </c>
      <c r="H113" s="50">
        <f t="shared" si="2"/>
        <v>27</v>
      </c>
      <c r="I113" s="51" t="s">
        <v>882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31.95" customHeight="1" x14ac:dyDescent="0.25">
      <c r="A114" s="49">
        <v>49</v>
      </c>
      <c r="B114" s="35" t="s">
        <v>84</v>
      </c>
      <c r="C114" s="35" t="s">
        <v>725</v>
      </c>
      <c r="D114" s="36" t="s">
        <v>35</v>
      </c>
      <c r="E114" s="45" t="s">
        <v>720</v>
      </c>
      <c r="F114" s="43" t="s">
        <v>993</v>
      </c>
      <c r="G114" s="37">
        <v>27</v>
      </c>
      <c r="H114" s="50">
        <f t="shared" si="2"/>
        <v>27</v>
      </c>
      <c r="I114" s="51" t="s">
        <v>883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31.95" customHeight="1" x14ac:dyDescent="0.25">
      <c r="A115" s="49">
        <v>50</v>
      </c>
      <c r="B115" s="35" t="s">
        <v>84</v>
      </c>
      <c r="C115" s="35" t="s">
        <v>725</v>
      </c>
      <c r="D115" s="36" t="s">
        <v>35</v>
      </c>
      <c r="E115" s="45" t="s">
        <v>720</v>
      </c>
      <c r="F115" s="43" t="s">
        <v>1030</v>
      </c>
      <c r="G115" s="37">
        <v>26</v>
      </c>
      <c r="H115" s="50">
        <f t="shared" si="2"/>
        <v>26</v>
      </c>
      <c r="I115" s="51" t="s">
        <v>884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31.95" customHeight="1" x14ac:dyDescent="0.25">
      <c r="A116" s="49">
        <v>51</v>
      </c>
      <c r="B116" s="35" t="s">
        <v>84</v>
      </c>
      <c r="C116" s="35" t="s">
        <v>725</v>
      </c>
      <c r="D116" s="36" t="s">
        <v>35</v>
      </c>
      <c r="E116" s="45" t="s">
        <v>720</v>
      </c>
      <c r="F116" s="43" t="s">
        <v>994</v>
      </c>
      <c r="G116" s="37">
        <v>27</v>
      </c>
      <c r="H116" s="50">
        <f t="shared" si="2"/>
        <v>27</v>
      </c>
      <c r="I116" s="51" t="s">
        <v>885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31.95" customHeight="1" x14ac:dyDescent="0.25">
      <c r="A117" s="49">
        <v>52</v>
      </c>
      <c r="B117" s="35" t="s">
        <v>84</v>
      </c>
      <c r="C117" s="35" t="s">
        <v>725</v>
      </c>
      <c r="D117" s="36" t="s">
        <v>35</v>
      </c>
      <c r="E117" s="45" t="s">
        <v>720</v>
      </c>
      <c r="F117" s="43" t="s">
        <v>1014</v>
      </c>
      <c r="G117" s="37">
        <v>26</v>
      </c>
      <c r="H117" s="50">
        <f t="shared" si="2"/>
        <v>26</v>
      </c>
      <c r="I117" s="51" t="s">
        <v>523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31.95" customHeight="1" x14ac:dyDescent="0.25">
      <c r="A118" s="49">
        <v>53</v>
      </c>
      <c r="B118" s="35" t="s">
        <v>84</v>
      </c>
      <c r="C118" s="35" t="s">
        <v>725</v>
      </c>
      <c r="D118" s="36" t="s">
        <v>35</v>
      </c>
      <c r="E118" s="45" t="s">
        <v>720</v>
      </c>
      <c r="F118" s="43" t="s">
        <v>995</v>
      </c>
      <c r="G118" s="37">
        <v>27</v>
      </c>
      <c r="H118" s="50">
        <f t="shared" si="2"/>
        <v>27</v>
      </c>
      <c r="I118" s="51" t="s">
        <v>522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</row>
    <row r="119" spans="1:22" ht="31.95" customHeight="1" x14ac:dyDescent="0.25">
      <c r="A119" s="49">
        <v>54</v>
      </c>
      <c r="B119" s="35" t="s">
        <v>84</v>
      </c>
      <c r="C119" s="35" t="s">
        <v>725</v>
      </c>
      <c r="D119" s="36" t="s">
        <v>35</v>
      </c>
      <c r="E119" s="45" t="s">
        <v>720</v>
      </c>
      <c r="F119" s="43" t="s">
        <v>1015</v>
      </c>
      <c r="G119" s="37">
        <v>26</v>
      </c>
      <c r="H119" s="50">
        <f t="shared" si="2"/>
        <v>26</v>
      </c>
      <c r="I119" s="51" t="s">
        <v>521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</row>
    <row r="120" spans="1:22" ht="31.95" customHeight="1" x14ac:dyDescent="0.25">
      <c r="A120" s="49">
        <v>55</v>
      </c>
      <c r="B120" s="35" t="s">
        <v>84</v>
      </c>
      <c r="C120" s="35" t="s">
        <v>725</v>
      </c>
      <c r="D120" s="36" t="s">
        <v>35</v>
      </c>
      <c r="E120" s="45" t="s">
        <v>720</v>
      </c>
      <c r="F120" s="43" t="s">
        <v>996</v>
      </c>
      <c r="G120" s="37">
        <v>27</v>
      </c>
      <c r="H120" s="50">
        <f t="shared" si="2"/>
        <v>27</v>
      </c>
      <c r="I120" s="51" t="s">
        <v>520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</row>
    <row r="121" spans="1:22" ht="72" x14ac:dyDescent="0.25">
      <c r="A121" s="49">
        <v>56</v>
      </c>
      <c r="B121" s="35" t="s">
        <v>32</v>
      </c>
      <c r="C121" s="35" t="s">
        <v>725</v>
      </c>
      <c r="D121" s="36" t="s">
        <v>35</v>
      </c>
      <c r="E121" s="45" t="s">
        <v>720</v>
      </c>
      <c r="F121" s="52" t="s">
        <v>817</v>
      </c>
      <c r="G121" s="37">
        <v>27</v>
      </c>
      <c r="H121" s="50">
        <f>SUM(G121:G121)</f>
        <v>27</v>
      </c>
      <c r="I121" s="51" t="s">
        <v>519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</row>
    <row r="122" spans="1:22" ht="31.95" customHeight="1" x14ac:dyDescent="0.25">
      <c r="A122" s="49">
        <v>57</v>
      </c>
      <c r="B122" s="35" t="s">
        <v>84</v>
      </c>
      <c r="C122" s="35" t="s">
        <v>725</v>
      </c>
      <c r="D122" s="36" t="s">
        <v>34</v>
      </c>
      <c r="E122" s="42" t="s">
        <v>736</v>
      </c>
      <c r="F122" s="141" t="s">
        <v>997</v>
      </c>
      <c r="G122" s="37">
        <v>27</v>
      </c>
      <c r="H122" s="50">
        <f>SUM(G122:G122)</f>
        <v>27</v>
      </c>
      <c r="I122" s="51" t="s">
        <v>518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</row>
    <row r="123" spans="1:22" ht="31.95" customHeight="1" x14ac:dyDescent="0.25">
      <c r="A123" s="49">
        <v>58</v>
      </c>
      <c r="B123" s="35" t="s">
        <v>84</v>
      </c>
      <c r="C123" s="35" t="s">
        <v>725</v>
      </c>
      <c r="D123" s="36" t="s">
        <v>34</v>
      </c>
      <c r="E123" s="42" t="s">
        <v>736</v>
      </c>
      <c r="F123" s="141" t="s">
        <v>998</v>
      </c>
      <c r="G123" s="37">
        <v>27</v>
      </c>
      <c r="H123" s="50">
        <f>SUM(G123:G123)</f>
        <v>27</v>
      </c>
      <c r="I123" s="51" t="s">
        <v>517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</row>
    <row r="124" spans="1:22" ht="31.95" customHeight="1" x14ac:dyDescent="0.25">
      <c r="A124" s="49">
        <v>59</v>
      </c>
      <c r="B124" s="35" t="s">
        <v>84</v>
      </c>
      <c r="C124" s="35" t="s">
        <v>725</v>
      </c>
      <c r="D124" s="36" t="s">
        <v>34</v>
      </c>
      <c r="E124" s="42" t="s">
        <v>736</v>
      </c>
      <c r="F124" s="141" t="s">
        <v>999</v>
      </c>
      <c r="G124" s="37">
        <v>27</v>
      </c>
      <c r="H124" s="50">
        <f>SUM(G124:G124)</f>
        <v>27</v>
      </c>
      <c r="I124" s="51" t="s">
        <v>516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</row>
    <row r="125" spans="1:22" ht="31.95" customHeight="1" x14ac:dyDescent="0.25">
      <c r="A125" s="49">
        <v>60</v>
      </c>
      <c r="B125" s="35" t="s">
        <v>84</v>
      </c>
      <c r="C125" s="35" t="s">
        <v>725</v>
      </c>
      <c r="D125" s="36" t="s">
        <v>34</v>
      </c>
      <c r="E125" s="42" t="s">
        <v>736</v>
      </c>
      <c r="F125" s="141" t="s">
        <v>1000</v>
      </c>
      <c r="G125" s="37">
        <v>27</v>
      </c>
      <c r="H125" s="50">
        <f>SUM(G125:G125)</f>
        <v>27</v>
      </c>
      <c r="I125" s="51" t="s">
        <v>515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</row>
    <row r="126" spans="1:22" ht="31.95" customHeight="1" x14ac:dyDescent="0.25">
      <c r="A126" s="69">
        <v>61</v>
      </c>
      <c r="B126" s="35" t="s">
        <v>84</v>
      </c>
      <c r="C126" s="35" t="s">
        <v>725</v>
      </c>
      <c r="D126" s="36" t="s">
        <v>34</v>
      </c>
      <c r="E126" s="42" t="s">
        <v>736</v>
      </c>
      <c r="F126" s="141" t="s">
        <v>1001</v>
      </c>
      <c r="G126" s="37">
        <v>18</v>
      </c>
      <c r="H126" s="70">
        <f>SUM(G126:G127)</f>
        <v>23</v>
      </c>
      <c r="I126" s="71" t="s">
        <v>514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</row>
    <row r="127" spans="1:22" ht="29.4" customHeight="1" x14ac:dyDescent="0.25">
      <c r="A127" s="69"/>
      <c r="B127" s="35" t="s">
        <v>32</v>
      </c>
      <c r="C127" s="35" t="s">
        <v>725</v>
      </c>
      <c r="D127" s="36" t="s">
        <v>11</v>
      </c>
      <c r="E127" s="45" t="s">
        <v>715</v>
      </c>
      <c r="F127" s="39" t="s">
        <v>807</v>
      </c>
      <c r="G127" s="37">
        <v>5</v>
      </c>
      <c r="H127" s="70"/>
      <c r="I127" s="71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</row>
    <row r="128" spans="1:22" ht="36" x14ac:dyDescent="0.25">
      <c r="A128" s="69">
        <v>62</v>
      </c>
      <c r="B128" s="35" t="s">
        <v>69</v>
      </c>
      <c r="C128" s="35" t="s">
        <v>725</v>
      </c>
      <c r="D128" s="36" t="s">
        <v>718</v>
      </c>
      <c r="E128" s="45" t="s">
        <v>715</v>
      </c>
      <c r="F128" s="139" t="s">
        <v>789</v>
      </c>
      <c r="G128" s="37">
        <v>7</v>
      </c>
      <c r="H128" s="70">
        <f>SUM(G128:G129)</f>
        <v>27</v>
      </c>
      <c r="I128" s="71" t="s">
        <v>513</v>
      </c>
      <c r="J128" s="13"/>
      <c r="O128" s="13"/>
      <c r="P128" s="13"/>
      <c r="Q128" s="13"/>
      <c r="R128" s="13"/>
      <c r="S128" s="13"/>
      <c r="T128" s="13"/>
      <c r="U128" s="13"/>
      <c r="V128" s="13"/>
    </row>
    <row r="129" spans="1:22" ht="58.2" customHeight="1" x14ac:dyDescent="0.25">
      <c r="A129" s="69"/>
      <c r="B129" s="35" t="s">
        <v>84</v>
      </c>
      <c r="C129" s="35" t="s">
        <v>725</v>
      </c>
      <c r="D129" s="36" t="s">
        <v>719</v>
      </c>
      <c r="E129" s="45" t="s">
        <v>715</v>
      </c>
      <c r="F129" s="139" t="s">
        <v>783</v>
      </c>
      <c r="G129" s="37">
        <v>20</v>
      </c>
      <c r="H129" s="70"/>
      <c r="I129" s="71"/>
      <c r="J129" s="13"/>
      <c r="O129" s="13"/>
      <c r="P129" s="13"/>
      <c r="Q129" s="13"/>
      <c r="R129" s="13"/>
      <c r="S129" s="13"/>
      <c r="T129" s="13"/>
      <c r="U129" s="13"/>
      <c r="V129" s="13"/>
    </row>
    <row r="130" spans="1:22" ht="15.75" customHeight="1" x14ac:dyDescent="0.3">
      <c r="A130" s="89" t="s">
        <v>15</v>
      </c>
      <c r="B130" s="89"/>
      <c r="C130" s="89"/>
      <c r="D130" s="89"/>
      <c r="E130" s="89"/>
      <c r="F130" s="89"/>
      <c r="G130" s="24"/>
      <c r="H130" s="17">
        <f>SUM(H7:H129)</f>
        <v>2282</v>
      </c>
      <c r="I130" s="38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 x14ac:dyDescent="0.35">
      <c r="A131" s="90"/>
      <c r="B131" s="91"/>
      <c r="C131" s="91"/>
      <c r="D131" s="91"/>
      <c r="E131" s="91"/>
      <c r="F131" s="91"/>
      <c r="G131" s="92"/>
      <c r="H131" s="92"/>
      <c r="I131" s="93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 x14ac:dyDescent="0.3">
      <c r="A132" s="94" t="s">
        <v>16</v>
      </c>
      <c r="B132" s="95"/>
      <c r="C132" s="95"/>
      <c r="D132" s="95"/>
      <c r="E132" s="95"/>
      <c r="F132" s="95"/>
      <c r="G132" s="95"/>
      <c r="H132" s="95"/>
      <c r="I132" s="9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 x14ac:dyDescent="0.3">
      <c r="A133" s="94" t="s">
        <v>711</v>
      </c>
      <c r="B133" s="95"/>
      <c r="C133" s="95"/>
      <c r="D133" s="95"/>
      <c r="E133" s="95"/>
      <c r="F133" s="95"/>
      <c r="G133" s="95"/>
      <c r="H133" s="95"/>
      <c r="I133" s="9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 x14ac:dyDescent="0.3">
      <c r="A134" s="80" t="s">
        <v>17</v>
      </c>
      <c r="B134" s="81"/>
      <c r="C134" s="81"/>
      <c r="D134" s="81"/>
      <c r="E134" s="81"/>
      <c r="F134" s="81"/>
      <c r="G134" s="81"/>
      <c r="H134" s="81"/>
      <c r="I134" s="8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 x14ac:dyDescent="0.3">
      <c r="A135" s="83"/>
      <c r="B135" s="84"/>
      <c r="C135" s="84"/>
      <c r="D135" s="84"/>
      <c r="E135" s="84"/>
      <c r="F135" s="84"/>
      <c r="G135" s="84"/>
      <c r="H135" s="84"/>
      <c r="I135" s="85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 x14ac:dyDescent="0.3">
      <c r="A136" s="83"/>
      <c r="B136" s="84"/>
      <c r="C136" s="84"/>
      <c r="D136" s="84"/>
      <c r="E136" s="84"/>
      <c r="F136" s="84"/>
      <c r="G136" s="84"/>
      <c r="H136" s="84"/>
      <c r="I136" s="85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 x14ac:dyDescent="0.3">
      <c r="A137" s="86"/>
      <c r="B137" s="87"/>
      <c r="C137" s="87"/>
      <c r="D137" s="87"/>
      <c r="E137" s="87"/>
      <c r="F137" s="87"/>
      <c r="G137" s="87"/>
      <c r="H137" s="87"/>
      <c r="I137" s="88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1:22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1:22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1:22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1:22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1:22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1:22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1:22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1:22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1:22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1:22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1:22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1:22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1:22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1:22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1:22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1:22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1:22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1:22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1:22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1:22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1:22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1:22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1:22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1:22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1:22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1:22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1:22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1:22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1:22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1:22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1:22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1:22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1:22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1:22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1:22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1:22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1:22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1:22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1:22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1:22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1:22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1:22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1:22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1:22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1:22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1:22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1:22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1:22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1:22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1:22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1:22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1:22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1:22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1:22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1:22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1:22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1:22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1:22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1:22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1:22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1:22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1:22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1:22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1:22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1:22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1:22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1:22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1:22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1:22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1:22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1:22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1:22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1:22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1:22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1:22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1:22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1:22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1:22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1:22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1:22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1:22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1:22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1:22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1:22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1:22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1:22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1:22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1:22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1:22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1:22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1:22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1:22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1:22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1:22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1:22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1:22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1:22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1:22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1:22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1:22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1:22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1:22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1:22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1:22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1:22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1:22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1:22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1:22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1:22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1:22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1:22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1:22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1:22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1:22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1:22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1:22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1:22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1:22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1:22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1:22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1:22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1:22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1:22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1:22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1:22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1:22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1:22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1:22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1:22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1:22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1:22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1:22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1:22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1:22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1:22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1:22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1:22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1:22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1:22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1:22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1:22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1:22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1:22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1:22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1:22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1:22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1:22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1:22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1:22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1:22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1:22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1:22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1:22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1:22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1:22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1:22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1:22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1:22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1:22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1:22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1:22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1:22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1:22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1:22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1:22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1:22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1:22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1:22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1:22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1:22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1:22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1:22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1:22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1:22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1:22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1:22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1:22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1:22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1:22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1:22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1:22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1:22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1:22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1:22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1:22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1:22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1:22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1:22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1:22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1:22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1:22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1:22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1:22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1:22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1:22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1:22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1:22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1:22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1:22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1:22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1:22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1:22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1:22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1:22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1:22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1:22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1:22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1:22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1:22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1:22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1:22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1:22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1:22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1:22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1:22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1:22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1:22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1:22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1:22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1:22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1:22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1:22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1:22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1:22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1:22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1:22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1:22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1:22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1:22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1:22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1:22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1:22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1:22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1:22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1:22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1:22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1:22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1:22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1:22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1:22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1:22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1:22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1:22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1:22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1:22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1:22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1:22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1:22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1:22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1:22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1:22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1:22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1:22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1:22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1:22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1:22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1:22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1:22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1:22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1:22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1:22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1:22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1:22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1:22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1:22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1:22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1:22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1:22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1:22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1:22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1:22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1:22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1:22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1:22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1:22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1:22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1:22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1:22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1:22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1:22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1:22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1:22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1:22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1:22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1:22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1:22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1:22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1:22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1:22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1:22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1:22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1:22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1:22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1:22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1:22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1:22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1:22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1:22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1:22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1:22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1:22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1:22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1:22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1:22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1:22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1:22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1:22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1:22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1:22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1:22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1:22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1:22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1:22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1:22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1:22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1:22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1:22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1:22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1:22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1:22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1:22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1:22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1:22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1:22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1:22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1:22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1:22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1:22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1:22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1:22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1:22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1:22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1:22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1:22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1:22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1:22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</sheetData>
  <autoFilter ref="B6:I130" xr:uid="{00000000-0009-0000-0000-000008000000}"/>
  <mergeCells count="98">
    <mergeCell ref="H99:H101"/>
    <mergeCell ref="I77:I79"/>
    <mergeCell ref="I81:I83"/>
    <mergeCell ref="I85:I87"/>
    <mergeCell ref="I88:I90"/>
    <mergeCell ref="I91:I94"/>
    <mergeCell ref="I74:I76"/>
    <mergeCell ref="A134:I137"/>
    <mergeCell ref="A130:F130"/>
    <mergeCell ref="A131:I131"/>
    <mergeCell ref="A132:I132"/>
    <mergeCell ref="A133:I133"/>
    <mergeCell ref="A85:A87"/>
    <mergeCell ref="I99:I101"/>
    <mergeCell ref="A99:A101"/>
    <mergeCell ref="H77:H79"/>
    <mergeCell ref="H81:H83"/>
    <mergeCell ref="H85:H87"/>
    <mergeCell ref="A88:A90"/>
    <mergeCell ref="A91:A94"/>
    <mergeCell ref="H88:H90"/>
    <mergeCell ref="H91:H94"/>
    <mergeCell ref="A77:A79"/>
    <mergeCell ref="A81:A83"/>
    <mergeCell ref="H57:H59"/>
    <mergeCell ref="I57:I59"/>
    <mergeCell ref="A66:A69"/>
    <mergeCell ref="H66:H69"/>
    <mergeCell ref="I66:I69"/>
    <mergeCell ref="A60:A64"/>
    <mergeCell ref="H60:H64"/>
    <mergeCell ref="I60:I64"/>
    <mergeCell ref="A57:A59"/>
    <mergeCell ref="A71:A72"/>
    <mergeCell ref="H71:H72"/>
    <mergeCell ref="I71:I72"/>
    <mergeCell ref="A74:A76"/>
    <mergeCell ref="H74:H76"/>
    <mergeCell ref="A52:A56"/>
    <mergeCell ref="H52:H56"/>
    <mergeCell ref="I52:I56"/>
    <mergeCell ref="H39:H41"/>
    <mergeCell ref="I39:I41"/>
    <mergeCell ref="A42:A43"/>
    <mergeCell ref="H42:H43"/>
    <mergeCell ref="I42:I43"/>
    <mergeCell ref="A44:A45"/>
    <mergeCell ref="H44:H45"/>
    <mergeCell ref="I44:I45"/>
    <mergeCell ref="A39:A41"/>
    <mergeCell ref="A46:A47"/>
    <mergeCell ref="H46:H47"/>
    <mergeCell ref="I46:I47"/>
    <mergeCell ref="A48:A49"/>
    <mergeCell ref="H48:H49"/>
    <mergeCell ref="I48:I49"/>
    <mergeCell ref="A50:A51"/>
    <mergeCell ref="H50:H51"/>
    <mergeCell ref="I50:I51"/>
    <mergeCell ref="A24:A26"/>
    <mergeCell ref="H24:H26"/>
    <mergeCell ref="I24:I26"/>
    <mergeCell ref="A34:A38"/>
    <mergeCell ref="H34:H38"/>
    <mergeCell ref="I34:I38"/>
    <mergeCell ref="A27:A28"/>
    <mergeCell ref="H27:H28"/>
    <mergeCell ref="I27:I28"/>
    <mergeCell ref="A29:A33"/>
    <mergeCell ref="H29:H33"/>
    <mergeCell ref="I29:I33"/>
    <mergeCell ref="I16:I17"/>
    <mergeCell ref="A18:A23"/>
    <mergeCell ref="H18:H23"/>
    <mergeCell ref="I18:I23"/>
    <mergeCell ref="A9:A13"/>
    <mergeCell ref="H9:H13"/>
    <mergeCell ref="I9:I13"/>
    <mergeCell ref="A16:A17"/>
    <mergeCell ref="H16:H17"/>
    <mergeCell ref="A7:A8"/>
    <mergeCell ref="H7:H8"/>
    <mergeCell ref="I7:I8"/>
    <mergeCell ref="A14:A15"/>
    <mergeCell ref="H14:H15"/>
    <mergeCell ref="I14:I15"/>
    <mergeCell ref="A1:I1"/>
    <mergeCell ref="A2:I2"/>
    <mergeCell ref="A3:I3"/>
    <mergeCell ref="A4:I4"/>
    <mergeCell ref="F5:I5"/>
    <mergeCell ref="A5:E5"/>
    <mergeCell ref="A128:A129"/>
    <mergeCell ref="H128:H129"/>
    <mergeCell ref="I128:I129"/>
    <mergeCell ref="A126:A127"/>
    <mergeCell ref="H126:H127"/>
    <mergeCell ref="I126:I127"/>
  </mergeCells>
  <conditionalFormatting sqref="A7:A129">
    <cfRule type="duplicateValues" dxfId="5" priority="494"/>
  </conditionalFormatting>
  <conditionalFormatting sqref="I105:I114">
    <cfRule type="duplicateValues" dxfId="4" priority="420"/>
  </conditionalFormatting>
  <conditionalFormatting sqref="I115:I129 I7:I104">
    <cfRule type="duplicateValues" dxfId="3" priority="485"/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73" fitToHeight="0" orientation="portrait" r:id="rId1"/>
  <rowBreaks count="1" manualBreakCount="1">
    <brk id="4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V672"/>
  <sheetViews>
    <sheetView tabSelected="1" topLeftCell="B1" zoomScale="80" zoomScaleNormal="80" workbookViewId="0">
      <selection activeCell="F10" sqref="F10"/>
    </sheetView>
  </sheetViews>
  <sheetFormatPr defaultColWidth="14.44140625" defaultRowHeight="15" customHeight="1" x14ac:dyDescent="0.25"/>
  <cols>
    <col min="1" max="1" width="6.109375" style="11" customWidth="1"/>
    <col min="2" max="2" width="13.5546875" style="11" customWidth="1"/>
    <col min="3" max="3" width="10.88671875" style="11" customWidth="1"/>
    <col min="4" max="4" width="13.21875" style="11" bestFit="1" customWidth="1"/>
    <col min="5" max="5" width="14.21875" style="11" customWidth="1"/>
    <col min="6" max="6" width="45.33203125" style="11" customWidth="1"/>
    <col min="7" max="7" width="14.44140625" style="11" customWidth="1"/>
    <col min="8" max="8" width="11.109375" style="11" customWidth="1"/>
    <col min="9" max="9" width="16.77734375" style="11" customWidth="1"/>
    <col min="10" max="22" width="14.44140625" style="11" customWidth="1"/>
    <col min="23" max="16384" width="14.44140625" style="11"/>
  </cols>
  <sheetData>
    <row r="1" spans="1:22" ht="18" x14ac:dyDescent="0.3">
      <c r="A1" s="72" t="s">
        <v>4</v>
      </c>
      <c r="B1" s="72"/>
      <c r="C1" s="72"/>
      <c r="D1" s="73"/>
      <c r="E1" s="73"/>
      <c r="F1" s="73"/>
      <c r="G1" s="73"/>
      <c r="H1" s="73"/>
      <c r="I1" s="73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8" x14ac:dyDescent="0.3">
      <c r="A2" s="72" t="s">
        <v>5</v>
      </c>
      <c r="B2" s="72"/>
      <c r="C2" s="72"/>
      <c r="D2" s="73"/>
      <c r="E2" s="73"/>
      <c r="F2" s="73"/>
      <c r="G2" s="73"/>
      <c r="H2" s="73"/>
      <c r="I2" s="7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8" x14ac:dyDescent="0.3">
      <c r="A3" s="72" t="s">
        <v>714</v>
      </c>
      <c r="B3" s="72"/>
      <c r="C3" s="72"/>
      <c r="D3" s="73"/>
      <c r="E3" s="73"/>
      <c r="F3" s="73"/>
      <c r="G3" s="73"/>
      <c r="H3" s="73"/>
      <c r="I3" s="7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22.8" customHeight="1" x14ac:dyDescent="0.3">
      <c r="A4" s="74" t="s">
        <v>1002</v>
      </c>
      <c r="B4" s="74"/>
      <c r="C4" s="74"/>
      <c r="D4" s="74"/>
      <c r="E4" s="75"/>
      <c r="F4" s="75"/>
      <c r="G4" s="75"/>
      <c r="H4" s="75"/>
      <c r="I4" s="75"/>
      <c r="J4" s="75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22.8" customHeight="1" thickBot="1" x14ac:dyDescent="0.35">
      <c r="A5" s="74" t="s">
        <v>739</v>
      </c>
      <c r="B5" s="74"/>
      <c r="C5" s="74"/>
      <c r="D5" s="74"/>
      <c r="E5" s="74"/>
      <c r="F5" s="74" t="s">
        <v>713</v>
      </c>
      <c r="G5" s="74"/>
      <c r="H5" s="74"/>
      <c r="I5" s="74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35.4" thickBot="1" x14ac:dyDescent="0.35">
      <c r="A6" s="31" t="s">
        <v>6</v>
      </c>
      <c r="B6" s="41" t="s">
        <v>7</v>
      </c>
      <c r="C6" s="41" t="s">
        <v>724</v>
      </c>
      <c r="D6" s="31" t="s">
        <v>709</v>
      </c>
      <c r="E6" s="48" t="s">
        <v>710</v>
      </c>
      <c r="F6" s="47" t="s">
        <v>1</v>
      </c>
      <c r="G6" s="32" t="s">
        <v>2</v>
      </c>
      <c r="H6" s="33" t="s">
        <v>3</v>
      </c>
      <c r="I6" s="34" t="s">
        <v>708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31.95" customHeight="1" x14ac:dyDescent="0.25">
      <c r="A7" s="69">
        <v>1</v>
      </c>
      <c r="B7" s="35" t="s">
        <v>84</v>
      </c>
      <c r="C7" s="35" t="s">
        <v>725</v>
      </c>
      <c r="D7" s="44" t="s">
        <v>44</v>
      </c>
      <c r="E7" s="57" t="s">
        <v>741</v>
      </c>
      <c r="F7" s="54" t="s">
        <v>887</v>
      </c>
      <c r="G7" s="46">
        <v>30</v>
      </c>
      <c r="H7" s="77">
        <f>SUM(G7:G8)</f>
        <v>59</v>
      </c>
      <c r="I7" s="78" t="s">
        <v>835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31.95" customHeight="1" x14ac:dyDescent="0.25">
      <c r="A8" s="76"/>
      <c r="B8" s="35" t="s">
        <v>84</v>
      </c>
      <c r="C8" s="35" t="s">
        <v>725</v>
      </c>
      <c r="D8" s="36" t="s">
        <v>718</v>
      </c>
      <c r="E8" s="53" t="s">
        <v>742</v>
      </c>
      <c r="F8" s="40" t="s">
        <v>1019</v>
      </c>
      <c r="G8" s="37">
        <v>29</v>
      </c>
      <c r="H8" s="70"/>
      <c r="I8" s="71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spans="1:22" ht="31.95" customHeight="1" x14ac:dyDescent="0.25">
      <c r="A9" s="69">
        <v>2</v>
      </c>
      <c r="B9" s="35" t="s">
        <v>84</v>
      </c>
      <c r="C9" s="35" t="s">
        <v>725</v>
      </c>
      <c r="D9" s="44" t="s">
        <v>44</v>
      </c>
      <c r="E9" s="57" t="s">
        <v>741</v>
      </c>
      <c r="F9" s="54" t="s">
        <v>1006</v>
      </c>
      <c r="G9" s="46">
        <v>29</v>
      </c>
      <c r="H9" s="70">
        <f>SUM(G9:G10)</f>
        <v>59</v>
      </c>
      <c r="I9" s="71" t="s">
        <v>836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spans="1:22" ht="31.95" customHeight="1" x14ac:dyDescent="0.25">
      <c r="A10" s="76"/>
      <c r="B10" s="35" t="s">
        <v>84</v>
      </c>
      <c r="C10" s="35" t="s">
        <v>725</v>
      </c>
      <c r="D10" s="36" t="s">
        <v>718</v>
      </c>
      <c r="E10" s="53" t="s">
        <v>742</v>
      </c>
      <c r="F10" s="40" t="s">
        <v>888</v>
      </c>
      <c r="G10" s="37">
        <v>30</v>
      </c>
      <c r="H10" s="70"/>
      <c r="I10" s="71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spans="1:22" ht="31.95" customHeight="1" x14ac:dyDescent="0.25">
      <c r="A11" s="69">
        <v>3</v>
      </c>
      <c r="B11" s="35" t="s">
        <v>84</v>
      </c>
      <c r="C11" s="35" t="s">
        <v>725</v>
      </c>
      <c r="D11" s="44" t="s">
        <v>44</v>
      </c>
      <c r="E11" s="57" t="s">
        <v>741</v>
      </c>
      <c r="F11" s="54" t="s">
        <v>889</v>
      </c>
      <c r="G11" s="46">
        <v>30</v>
      </c>
      <c r="H11" s="70">
        <f>SUM(G11:G12)</f>
        <v>60</v>
      </c>
      <c r="I11" s="71" t="s">
        <v>837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spans="1:22" ht="31.95" customHeight="1" x14ac:dyDescent="0.25">
      <c r="A12" s="76"/>
      <c r="B12" s="35" t="s">
        <v>84</v>
      </c>
      <c r="C12" s="35" t="s">
        <v>725</v>
      </c>
      <c r="D12" s="36" t="s">
        <v>718</v>
      </c>
      <c r="E12" s="53" t="s">
        <v>742</v>
      </c>
      <c r="F12" s="40" t="s">
        <v>890</v>
      </c>
      <c r="G12" s="37">
        <v>30</v>
      </c>
      <c r="H12" s="70"/>
      <c r="I12" s="71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spans="1:22" ht="31.95" customHeight="1" x14ac:dyDescent="0.25">
      <c r="A13" s="69">
        <v>4</v>
      </c>
      <c r="B13" s="35" t="s">
        <v>84</v>
      </c>
      <c r="C13" s="35" t="s">
        <v>725</v>
      </c>
      <c r="D13" s="44" t="s">
        <v>44</v>
      </c>
      <c r="E13" s="57" t="s">
        <v>741</v>
      </c>
      <c r="F13" s="54" t="s">
        <v>891</v>
      </c>
      <c r="G13" s="46">
        <v>30</v>
      </c>
      <c r="H13" s="70">
        <f>SUM(G13:G14)</f>
        <v>60</v>
      </c>
      <c r="I13" s="71" t="s">
        <v>838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spans="1:22" ht="31.95" customHeight="1" x14ac:dyDescent="0.25">
      <c r="A14" s="76"/>
      <c r="B14" s="35" t="s">
        <v>84</v>
      </c>
      <c r="C14" s="35" t="s">
        <v>725</v>
      </c>
      <c r="D14" s="36" t="s">
        <v>718</v>
      </c>
      <c r="E14" s="53" t="s">
        <v>742</v>
      </c>
      <c r="F14" s="40" t="s">
        <v>892</v>
      </c>
      <c r="G14" s="37">
        <v>30</v>
      </c>
      <c r="H14" s="70"/>
      <c r="I14" s="71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31.95" customHeight="1" x14ac:dyDescent="0.25">
      <c r="A15" s="69">
        <v>5</v>
      </c>
      <c r="B15" s="35" t="s">
        <v>84</v>
      </c>
      <c r="C15" s="35" t="s">
        <v>725</v>
      </c>
      <c r="D15" s="44" t="s">
        <v>44</v>
      </c>
      <c r="E15" s="57" t="s">
        <v>741</v>
      </c>
      <c r="F15" s="54" t="s">
        <v>893</v>
      </c>
      <c r="G15" s="46">
        <v>30</v>
      </c>
      <c r="H15" s="70">
        <f>SUM(G15:G16)</f>
        <v>59</v>
      </c>
      <c r="I15" s="71" t="s">
        <v>839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31.95" customHeight="1" x14ac:dyDescent="0.25">
      <c r="A16" s="76"/>
      <c r="B16" s="35" t="s">
        <v>84</v>
      </c>
      <c r="C16" s="35" t="s">
        <v>725</v>
      </c>
      <c r="D16" s="36" t="s">
        <v>718</v>
      </c>
      <c r="E16" s="53" t="s">
        <v>742</v>
      </c>
      <c r="F16" s="40" t="s">
        <v>1020</v>
      </c>
      <c r="G16" s="37">
        <v>29</v>
      </c>
      <c r="H16" s="70"/>
      <c r="I16" s="71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31.95" customHeight="1" x14ac:dyDescent="0.25">
      <c r="A17" s="69">
        <v>6</v>
      </c>
      <c r="B17" s="35" t="s">
        <v>84</v>
      </c>
      <c r="C17" s="35" t="s">
        <v>725</v>
      </c>
      <c r="D17" s="44" t="s">
        <v>44</v>
      </c>
      <c r="E17" s="57" t="s">
        <v>741</v>
      </c>
      <c r="F17" s="54" t="s">
        <v>1007</v>
      </c>
      <c r="G17" s="46">
        <v>29</v>
      </c>
      <c r="H17" s="70">
        <f>SUM(G17:G18)</f>
        <v>59</v>
      </c>
      <c r="I17" s="71" t="s">
        <v>840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spans="1:22" ht="31.95" customHeight="1" x14ac:dyDescent="0.25">
      <c r="A18" s="128"/>
      <c r="B18" s="35" t="s">
        <v>84</v>
      </c>
      <c r="C18" s="35" t="s">
        <v>725</v>
      </c>
      <c r="D18" s="36" t="s">
        <v>718</v>
      </c>
      <c r="E18" s="53" t="s">
        <v>742</v>
      </c>
      <c r="F18" s="40" t="s">
        <v>894</v>
      </c>
      <c r="G18" s="37">
        <v>30</v>
      </c>
      <c r="H18" s="70"/>
      <c r="I18" s="71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spans="1:22" ht="31.95" customHeight="1" x14ac:dyDescent="0.25">
      <c r="A19" s="69">
        <v>7</v>
      </c>
      <c r="B19" s="35" t="s">
        <v>84</v>
      </c>
      <c r="C19" s="35" t="s">
        <v>725</v>
      </c>
      <c r="D19" s="44" t="s">
        <v>44</v>
      </c>
      <c r="E19" s="57" t="s">
        <v>741</v>
      </c>
      <c r="F19" s="54" t="s">
        <v>895</v>
      </c>
      <c r="G19" s="46">
        <v>30</v>
      </c>
      <c r="H19" s="70">
        <f>SUM(G19:G20)</f>
        <v>59</v>
      </c>
      <c r="I19" s="71" t="s">
        <v>841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spans="1:22" ht="31.95" customHeight="1" x14ac:dyDescent="0.25">
      <c r="A20" s="128"/>
      <c r="B20" s="35" t="s">
        <v>84</v>
      </c>
      <c r="C20" s="35" t="s">
        <v>725</v>
      </c>
      <c r="D20" s="36" t="s">
        <v>718</v>
      </c>
      <c r="E20" s="53" t="s">
        <v>742</v>
      </c>
      <c r="F20" s="40" t="s">
        <v>1021</v>
      </c>
      <c r="G20" s="37">
        <v>29</v>
      </c>
      <c r="H20" s="70"/>
      <c r="I20" s="71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spans="1:22" ht="31.95" customHeight="1" x14ac:dyDescent="0.25">
      <c r="A21" s="69">
        <v>8</v>
      </c>
      <c r="B21" s="35" t="s">
        <v>84</v>
      </c>
      <c r="C21" s="35" t="s">
        <v>725</v>
      </c>
      <c r="D21" s="44" t="s">
        <v>44</v>
      </c>
      <c r="E21" s="57" t="s">
        <v>741</v>
      </c>
      <c r="F21" s="54" t="s">
        <v>896</v>
      </c>
      <c r="G21" s="46">
        <v>30</v>
      </c>
      <c r="H21" s="70">
        <f>SUM(G21:G22)</f>
        <v>32</v>
      </c>
      <c r="I21" s="71" t="s">
        <v>842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spans="1:22" ht="31.95" customHeight="1" x14ac:dyDescent="0.25">
      <c r="A22" s="128"/>
      <c r="B22" s="35" t="s">
        <v>84</v>
      </c>
      <c r="C22" s="35" t="s">
        <v>725</v>
      </c>
      <c r="D22" s="36" t="s">
        <v>718</v>
      </c>
      <c r="E22" s="53" t="s">
        <v>742</v>
      </c>
      <c r="F22" s="40" t="s">
        <v>1022</v>
      </c>
      <c r="G22" s="37">
        <v>2</v>
      </c>
      <c r="H22" s="70"/>
      <c r="I22" s="71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spans="1:22" ht="31.95" customHeight="1" x14ac:dyDescent="0.25">
      <c r="A23" s="69">
        <v>9</v>
      </c>
      <c r="B23" s="35" t="s">
        <v>84</v>
      </c>
      <c r="C23" s="35" t="s">
        <v>725</v>
      </c>
      <c r="D23" s="44" t="s">
        <v>44</v>
      </c>
      <c r="E23" s="57" t="s">
        <v>741</v>
      </c>
      <c r="F23" s="54" t="s">
        <v>897</v>
      </c>
      <c r="G23" s="46">
        <v>30</v>
      </c>
      <c r="H23" s="70">
        <f>SUM(G23:G25)</f>
        <v>60</v>
      </c>
      <c r="I23" s="71" t="s">
        <v>843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spans="1:22" ht="31.95" customHeight="1" x14ac:dyDescent="0.25">
      <c r="A24" s="129"/>
      <c r="B24" s="35" t="s">
        <v>84</v>
      </c>
      <c r="C24" s="35" t="s">
        <v>725</v>
      </c>
      <c r="D24" s="36" t="s">
        <v>718</v>
      </c>
      <c r="E24" s="53" t="s">
        <v>742</v>
      </c>
      <c r="F24" s="54" t="s">
        <v>898</v>
      </c>
      <c r="G24" s="46">
        <v>15</v>
      </c>
      <c r="H24" s="70"/>
      <c r="I24" s="71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54" x14ac:dyDescent="0.25">
      <c r="A25" s="128"/>
      <c r="B25" s="35" t="s">
        <v>69</v>
      </c>
      <c r="C25" s="35" t="s">
        <v>725</v>
      </c>
      <c r="D25" s="36" t="s">
        <v>718</v>
      </c>
      <c r="E25" s="53" t="s">
        <v>742</v>
      </c>
      <c r="F25" s="52" t="s">
        <v>757</v>
      </c>
      <c r="G25" s="37">
        <v>15</v>
      </c>
      <c r="H25" s="70"/>
      <c r="I25" s="71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31.95" customHeight="1" x14ac:dyDescent="0.25">
      <c r="A26" s="69">
        <v>10</v>
      </c>
      <c r="B26" s="35" t="s">
        <v>84</v>
      </c>
      <c r="C26" s="35" t="s">
        <v>725</v>
      </c>
      <c r="D26" s="44" t="s">
        <v>44</v>
      </c>
      <c r="E26" s="57" t="s">
        <v>741</v>
      </c>
      <c r="F26" s="54" t="s">
        <v>899</v>
      </c>
      <c r="G26" s="46">
        <v>30</v>
      </c>
      <c r="H26" s="70">
        <f>SUM(G26:G27)</f>
        <v>60</v>
      </c>
      <c r="I26" s="71" t="s">
        <v>844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72" x14ac:dyDescent="0.25">
      <c r="A27" s="128"/>
      <c r="B27" s="35" t="s">
        <v>32</v>
      </c>
      <c r="C27" s="35" t="s">
        <v>725</v>
      </c>
      <c r="D27" s="36" t="s">
        <v>718</v>
      </c>
      <c r="E27" s="53" t="s">
        <v>742</v>
      </c>
      <c r="F27" s="55" t="s">
        <v>755</v>
      </c>
      <c r="G27" s="37">
        <v>30</v>
      </c>
      <c r="H27" s="70"/>
      <c r="I27" s="71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31.95" customHeight="1" x14ac:dyDescent="0.25">
      <c r="A28" s="69">
        <v>11</v>
      </c>
      <c r="B28" s="35" t="s">
        <v>84</v>
      </c>
      <c r="C28" s="35" t="s">
        <v>725</v>
      </c>
      <c r="D28" s="44" t="s">
        <v>44</v>
      </c>
      <c r="E28" s="57" t="s">
        <v>741</v>
      </c>
      <c r="F28" s="54" t="s">
        <v>1008</v>
      </c>
      <c r="G28" s="46">
        <v>29</v>
      </c>
      <c r="H28" s="70">
        <f>SUM(G28:G30)</f>
        <v>59</v>
      </c>
      <c r="I28" s="71" t="s">
        <v>845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 ht="54" x14ac:dyDescent="0.25">
      <c r="A29" s="129"/>
      <c r="B29" s="35" t="s">
        <v>32</v>
      </c>
      <c r="C29" s="35" t="s">
        <v>725</v>
      </c>
      <c r="D29" s="36" t="s">
        <v>718</v>
      </c>
      <c r="E29" s="53" t="s">
        <v>742</v>
      </c>
      <c r="F29" s="54" t="s">
        <v>756</v>
      </c>
      <c r="G29" s="46">
        <v>17</v>
      </c>
      <c r="H29" s="70"/>
      <c r="I29" s="71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 ht="36" x14ac:dyDescent="0.25">
      <c r="A30" s="129"/>
      <c r="B30" s="35" t="s">
        <v>69</v>
      </c>
      <c r="C30" s="35" t="s">
        <v>725</v>
      </c>
      <c r="D30" s="36" t="s">
        <v>718</v>
      </c>
      <c r="E30" s="53" t="s">
        <v>742</v>
      </c>
      <c r="F30" s="55" t="s">
        <v>758</v>
      </c>
      <c r="G30" s="37">
        <v>13</v>
      </c>
      <c r="H30" s="70"/>
      <c r="I30" s="71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 ht="31.95" customHeight="1" x14ac:dyDescent="0.25">
      <c r="A31" s="69">
        <v>12</v>
      </c>
      <c r="B31" s="35" t="s">
        <v>84</v>
      </c>
      <c r="C31" s="35" t="s">
        <v>725</v>
      </c>
      <c r="D31" s="44" t="s">
        <v>44</v>
      </c>
      <c r="E31" s="57" t="s">
        <v>741</v>
      </c>
      <c r="F31" s="54" t="s">
        <v>900</v>
      </c>
      <c r="G31" s="46">
        <v>30</v>
      </c>
      <c r="H31" s="70">
        <f>SUM(G31:G34)</f>
        <v>60</v>
      </c>
      <c r="I31" s="71" t="s">
        <v>846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 ht="31.95" customHeight="1" x14ac:dyDescent="0.25">
      <c r="A32" s="69"/>
      <c r="B32" s="35" t="s">
        <v>32</v>
      </c>
      <c r="C32" s="35" t="s">
        <v>726</v>
      </c>
      <c r="D32" s="36" t="s">
        <v>743</v>
      </c>
      <c r="E32" s="53" t="s">
        <v>58</v>
      </c>
      <c r="F32" s="58" t="s">
        <v>901</v>
      </c>
      <c r="G32" s="37">
        <v>1</v>
      </c>
      <c r="H32" s="70"/>
      <c r="I32" s="71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 ht="56.4" customHeight="1" x14ac:dyDescent="0.25">
      <c r="A33" s="69"/>
      <c r="B33" s="35" t="s">
        <v>32</v>
      </c>
      <c r="C33" s="35" t="s">
        <v>725</v>
      </c>
      <c r="D33" s="36" t="s">
        <v>12</v>
      </c>
      <c r="E33" s="53" t="s">
        <v>742</v>
      </c>
      <c r="F33" s="52" t="s">
        <v>761</v>
      </c>
      <c r="G33" s="37">
        <v>14</v>
      </c>
      <c r="H33" s="70"/>
      <c r="I33" s="71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 ht="54" x14ac:dyDescent="0.25">
      <c r="A34" s="76"/>
      <c r="B34" s="35" t="s">
        <v>69</v>
      </c>
      <c r="C34" s="35" t="s">
        <v>725</v>
      </c>
      <c r="D34" s="36" t="s">
        <v>12</v>
      </c>
      <c r="E34" s="53" t="s">
        <v>742</v>
      </c>
      <c r="F34" s="52" t="s">
        <v>760</v>
      </c>
      <c r="G34" s="37">
        <v>15</v>
      </c>
      <c r="H34" s="70"/>
      <c r="I34" s="71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 ht="31.95" customHeight="1" x14ac:dyDescent="0.25">
      <c r="A35" s="69">
        <v>13</v>
      </c>
      <c r="B35" s="35" t="s">
        <v>84</v>
      </c>
      <c r="C35" s="35" t="s">
        <v>725</v>
      </c>
      <c r="D35" s="44" t="s">
        <v>44</v>
      </c>
      <c r="E35" s="57" t="s">
        <v>741</v>
      </c>
      <c r="F35" s="54" t="s">
        <v>902</v>
      </c>
      <c r="G35" s="46">
        <v>30</v>
      </c>
      <c r="H35" s="70">
        <f>SUM(G35:G36)</f>
        <v>60</v>
      </c>
      <c r="I35" s="71" t="s">
        <v>847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 ht="31.95" customHeight="1" x14ac:dyDescent="0.25">
      <c r="A36" s="76"/>
      <c r="B36" s="35" t="s">
        <v>84</v>
      </c>
      <c r="C36" s="35" t="s">
        <v>725</v>
      </c>
      <c r="D36" s="36" t="s">
        <v>12</v>
      </c>
      <c r="E36" s="53" t="s">
        <v>742</v>
      </c>
      <c r="F36" s="43" t="s">
        <v>903</v>
      </c>
      <c r="G36" s="37">
        <v>30</v>
      </c>
      <c r="H36" s="70"/>
      <c r="I36" s="71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 ht="31.95" customHeight="1" x14ac:dyDescent="0.25">
      <c r="A37" s="69">
        <v>14</v>
      </c>
      <c r="B37" s="35" t="s">
        <v>84</v>
      </c>
      <c r="C37" s="35" t="s">
        <v>725</v>
      </c>
      <c r="D37" s="44" t="s">
        <v>44</v>
      </c>
      <c r="E37" s="57" t="s">
        <v>741</v>
      </c>
      <c r="F37" s="54" t="s">
        <v>1026</v>
      </c>
      <c r="G37" s="46">
        <v>28</v>
      </c>
      <c r="H37" s="70">
        <f>SUM(G37:G38)</f>
        <v>58</v>
      </c>
      <c r="I37" s="71" t="s">
        <v>848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 ht="31.95" customHeight="1" x14ac:dyDescent="0.25">
      <c r="A38" s="76"/>
      <c r="B38" s="35" t="s">
        <v>84</v>
      </c>
      <c r="C38" s="35" t="s">
        <v>725</v>
      </c>
      <c r="D38" s="36" t="s">
        <v>12</v>
      </c>
      <c r="E38" s="53" t="s">
        <v>742</v>
      </c>
      <c r="F38" s="43" t="s">
        <v>904</v>
      </c>
      <c r="G38" s="37">
        <v>30</v>
      </c>
      <c r="H38" s="70"/>
      <c r="I38" s="7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 ht="31.95" customHeight="1" x14ac:dyDescent="0.25">
      <c r="A39" s="69">
        <v>15</v>
      </c>
      <c r="B39" s="35" t="s">
        <v>84</v>
      </c>
      <c r="C39" s="35" t="s">
        <v>725</v>
      </c>
      <c r="D39" s="44" t="s">
        <v>44</v>
      </c>
      <c r="E39" s="57" t="s">
        <v>741</v>
      </c>
      <c r="F39" s="54" t="s">
        <v>905</v>
      </c>
      <c r="G39" s="46">
        <v>30</v>
      </c>
      <c r="H39" s="70">
        <f>SUM(G39:G41)</f>
        <v>60</v>
      </c>
      <c r="I39" s="71" t="s">
        <v>849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spans="1:22" ht="31.95" customHeight="1" x14ac:dyDescent="0.25">
      <c r="A40" s="69"/>
      <c r="B40" s="35" t="s">
        <v>84</v>
      </c>
      <c r="C40" s="35" t="s">
        <v>725</v>
      </c>
      <c r="D40" s="36" t="s">
        <v>12</v>
      </c>
      <c r="E40" s="53" t="s">
        <v>742</v>
      </c>
      <c r="F40" s="54" t="s">
        <v>906</v>
      </c>
      <c r="G40" s="46">
        <v>3</v>
      </c>
      <c r="H40" s="70"/>
      <c r="I40" s="71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72" x14ac:dyDescent="0.25">
      <c r="A41" s="76"/>
      <c r="B41" s="35" t="s">
        <v>32</v>
      </c>
      <c r="C41" s="35" t="s">
        <v>725</v>
      </c>
      <c r="D41" s="36" t="s">
        <v>719</v>
      </c>
      <c r="E41" s="53" t="s">
        <v>742</v>
      </c>
      <c r="F41" s="52" t="s">
        <v>752</v>
      </c>
      <c r="G41" s="37">
        <v>27</v>
      </c>
      <c r="H41" s="70"/>
      <c r="I41" s="71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31.95" customHeight="1" x14ac:dyDescent="0.25">
      <c r="A42" s="69">
        <v>16</v>
      </c>
      <c r="B42" s="35" t="s">
        <v>84</v>
      </c>
      <c r="C42" s="35" t="s">
        <v>725</v>
      </c>
      <c r="D42" s="44" t="s">
        <v>44</v>
      </c>
      <c r="E42" s="57" t="s">
        <v>741</v>
      </c>
      <c r="F42" s="54" t="s">
        <v>1009</v>
      </c>
      <c r="G42" s="46">
        <v>29</v>
      </c>
      <c r="H42" s="70">
        <f>SUM(G42:G43)</f>
        <v>59</v>
      </c>
      <c r="I42" s="71" t="s">
        <v>850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31.95" customHeight="1" x14ac:dyDescent="0.25">
      <c r="A43" s="76"/>
      <c r="B43" s="35" t="s">
        <v>84</v>
      </c>
      <c r="C43" s="35" t="s">
        <v>725</v>
      </c>
      <c r="D43" s="36" t="s">
        <v>719</v>
      </c>
      <c r="E43" s="53" t="s">
        <v>742</v>
      </c>
      <c r="F43" s="43" t="s">
        <v>907</v>
      </c>
      <c r="G43" s="37">
        <v>30</v>
      </c>
      <c r="H43" s="70"/>
      <c r="I43" s="71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spans="1:22" ht="31.95" customHeight="1" x14ac:dyDescent="0.25">
      <c r="A44" s="69">
        <v>17</v>
      </c>
      <c r="B44" s="35" t="s">
        <v>84</v>
      </c>
      <c r="C44" s="35" t="s">
        <v>725</v>
      </c>
      <c r="D44" s="44" t="s">
        <v>44</v>
      </c>
      <c r="E44" s="57" t="s">
        <v>741</v>
      </c>
      <c r="F44" s="54" t="s">
        <v>908</v>
      </c>
      <c r="G44" s="46">
        <v>30</v>
      </c>
      <c r="H44" s="70">
        <f>SUM(G44:G45)</f>
        <v>60</v>
      </c>
      <c r="I44" s="71" t="s">
        <v>886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spans="1:22" ht="31.95" customHeight="1" x14ac:dyDescent="0.25">
      <c r="A45" s="76"/>
      <c r="B45" s="35" t="s">
        <v>84</v>
      </c>
      <c r="C45" s="35" t="s">
        <v>725</v>
      </c>
      <c r="D45" s="36" t="s">
        <v>719</v>
      </c>
      <c r="E45" s="53" t="s">
        <v>742</v>
      </c>
      <c r="F45" s="43" t="s">
        <v>909</v>
      </c>
      <c r="G45" s="37">
        <v>30</v>
      </c>
      <c r="H45" s="70"/>
      <c r="I45" s="71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2" ht="31.95" customHeight="1" x14ac:dyDescent="0.25">
      <c r="A46" s="69">
        <v>18</v>
      </c>
      <c r="B46" s="35" t="s">
        <v>84</v>
      </c>
      <c r="C46" s="35" t="s">
        <v>725</v>
      </c>
      <c r="D46" s="44" t="s">
        <v>44</v>
      </c>
      <c r="E46" s="57" t="s">
        <v>741</v>
      </c>
      <c r="F46" s="54" t="s">
        <v>1010</v>
      </c>
      <c r="G46" s="46">
        <v>29</v>
      </c>
      <c r="H46" s="70">
        <f>SUM(G46:G47)</f>
        <v>58</v>
      </c>
      <c r="I46" s="71" t="s">
        <v>851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spans="1:22" ht="31.95" customHeight="1" x14ac:dyDescent="0.25">
      <c r="A47" s="76"/>
      <c r="B47" s="35" t="s">
        <v>84</v>
      </c>
      <c r="C47" s="35" t="s">
        <v>725</v>
      </c>
      <c r="D47" s="36" t="s">
        <v>719</v>
      </c>
      <c r="E47" s="53" t="s">
        <v>742</v>
      </c>
      <c r="F47" s="43" t="s">
        <v>1033</v>
      </c>
      <c r="G47" s="37">
        <v>29</v>
      </c>
      <c r="H47" s="70"/>
      <c r="I47" s="71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spans="1:22" ht="31.95" customHeight="1" x14ac:dyDescent="0.25">
      <c r="A48" s="69">
        <v>19</v>
      </c>
      <c r="B48" s="35" t="s">
        <v>84</v>
      </c>
      <c r="C48" s="35" t="s">
        <v>725</v>
      </c>
      <c r="D48" s="44" t="s">
        <v>44</v>
      </c>
      <c r="E48" s="57" t="s">
        <v>741</v>
      </c>
      <c r="F48" s="54" t="s">
        <v>910</v>
      </c>
      <c r="G48" s="46">
        <v>30</v>
      </c>
      <c r="H48" s="70">
        <f>SUM(G48:G49)</f>
        <v>59</v>
      </c>
      <c r="I48" s="71" t="s">
        <v>852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spans="1:22" ht="31.95" customHeight="1" x14ac:dyDescent="0.25">
      <c r="A49" s="76"/>
      <c r="B49" s="35" t="s">
        <v>84</v>
      </c>
      <c r="C49" s="35" t="s">
        <v>725</v>
      </c>
      <c r="D49" s="36" t="s">
        <v>719</v>
      </c>
      <c r="E49" s="53" t="s">
        <v>742</v>
      </c>
      <c r="F49" s="43" t="s">
        <v>1023</v>
      </c>
      <c r="G49" s="37">
        <v>29</v>
      </c>
      <c r="H49" s="70"/>
      <c r="I49" s="71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spans="1:22" ht="34.950000000000003" customHeight="1" x14ac:dyDescent="0.25">
      <c r="A50" s="69">
        <v>20</v>
      </c>
      <c r="B50" s="35" t="s">
        <v>84</v>
      </c>
      <c r="C50" s="35" t="s">
        <v>725</v>
      </c>
      <c r="D50" s="44" t="s">
        <v>44</v>
      </c>
      <c r="E50" s="57" t="s">
        <v>741</v>
      </c>
      <c r="F50" s="54" t="s">
        <v>911</v>
      </c>
      <c r="G50" s="46">
        <v>30</v>
      </c>
      <c r="H50" s="70">
        <f>SUM(G50:G51)</f>
        <v>60</v>
      </c>
      <c r="I50" s="71" t="s">
        <v>853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spans="1:22" ht="31.95" customHeight="1" x14ac:dyDescent="0.25">
      <c r="A51" s="76"/>
      <c r="B51" s="35" t="s">
        <v>84</v>
      </c>
      <c r="C51" s="35" t="s">
        <v>725</v>
      </c>
      <c r="D51" s="36" t="s">
        <v>719</v>
      </c>
      <c r="E51" s="53" t="s">
        <v>742</v>
      </c>
      <c r="F51" s="43" t="s">
        <v>912</v>
      </c>
      <c r="G51" s="37">
        <v>30</v>
      </c>
      <c r="H51" s="70"/>
      <c r="I51" s="71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spans="1:22" ht="31.95" customHeight="1" x14ac:dyDescent="0.25">
      <c r="A52" s="69">
        <v>21</v>
      </c>
      <c r="B52" s="35" t="s">
        <v>84</v>
      </c>
      <c r="C52" s="35" t="s">
        <v>725</v>
      </c>
      <c r="D52" s="44" t="s">
        <v>44</v>
      </c>
      <c r="E52" s="57" t="s">
        <v>741</v>
      </c>
      <c r="F52" s="54" t="s">
        <v>1011</v>
      </c>
      <c r="G52" s="46">
        <v>29</v>
      </c>
      <c r="H52" s="70">
        <f>SUM(G52:G53)</f>
        <v>58</v>
      </c>
      <c r="I52" s="71" t="s">
        <v>854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spans="1:22" ht="31.95" customHeight="1" x14ac:dyDescent="0.25">
      <c r="A53" s="76"/>
      <c r="B53" s="35" t="s">
        <v>84</v>
      </c>
      <c r="C53" s="35" t="s">
        <v>725</v>
      </c>
      <c r="D53" s="36" t="s">
        <v>719</v>
      </c>
      <c r="E53" s="53" t="s">
        <v>742</v>
      </c>
      <c r="F53" s="43" t="s">
        <v>1034</v>
      </c>
      <c r="G53" s="37">
        <v>29</v>
      </c>
      <c r="H53" s="70"/>
      <c r="I53" s="71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spans="1:22" ht="31.95" customHeight="1" x14ac:dyDescent="0.25">
      <c r="A54" s="69">
        <v>22</v>
      </c>
      <c r="B54" s="35" t="s">
        <v>84</v>
      </c>
      <c r="C54" s="35" t="s">
        <v>725</v>
      </c>
      <c r="D54" s="44" t="s">
        <v>44</v>
      </c>
      <c r="E54" s="57" t="s">
        <v>741</v>
      </c>
      <c r="F54" s="54" t="s">
        <v>1027</v>
      </c>
      <c r="G54" s="46">
        <v>29</v>
      </c>
      <c r="H54" s="70">
        <f>SUM(G54:G55)</f>
        <v>59</v>
      </c>
      <c r="I54" s="71" t="s">
        <v>855</v>
      </c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spans="1:22" ht="31.95" customHeight="1" x14ac:dyDescent="0.25">
      <c r="A55" s="76"/>
      <c r="B55" s="35" t="s">
        <v>84</v>
      </c>
      <c r="C55" s="35" t="s">
        <v>725</v>
      </c>
      <c r="D55" s="36" t="s">
        <v>719</v>
      </c>
      <c r="E55" s="53" t="s">
        <v>742</v>
      </c>
      <c r="F55" s="43" t="s">
        <v>913</v>
      </c>
      <c r="G55" s="37">
        <v>30</v>
      </c>
      <c r="H55" s="70"/>
      <c r="I55" s="71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spans="1:22" ht="31.95" customHeight="1" x14ac:dyDescent="0.25">
      <c r="A56" s="69">
        <v>23</v>
      </c>
      <c r="B56" s="35" t="s">
        <v>84</v>
      </c>
      <c r="C56" s="35" t="s">
        <v>725</v>
      </c>
      <c r="D56" s="44" t="s">
        <v>44</v>
      </c>
      <c r="E56" s="57" t="s">
        <v>741</v>
      </c>
      <c r="F56" s="54" t="s">
        <v>914</v>
      </c>
      <c r="G56" s="46">
        <v>30</v>
      </c>
      <c r="H56" s="70">
        <f>SUM(G56:G57)</f>
        <v>60</v>
      </c>
      <c r="I56" s="71" t="s">
        <v>856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spans="1:22" ht="31.95" customHeight="1" x14ac:dyDescent="0.25">
      <c r="A57" s="76"/>
      <c r="B57" s="35" t="s">
        <v>84</v>
      </c>
      <c r="C57" s="35" t="s">
        <v>725</v>
      </c>
      <c r="D57" s="36" t="s">
        <v>719</v>
      </c>
      <c r="E57" s="53" t="s">
        <v>742</v>
      </c>
      <c r="F57" s="43" t="s">
        <v>915</v>
      </c>
      <c r="G57" s="37">
        <v>30</v>
      </c>
      <c r="H57" s="70"/>
      <c r="I57" s="71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spans="1:22" ht="31.95" customHeight="1" x14ac:dyDescent="0.25">
      <c r="A58" s="69">
        <v>24</v>
      </c>
      <c r="B58" s="35" t="s">
        <v>84</v>
      </c>
      <c r="C58" s="35" t="s">
        <v>725</v>
      </c>
      <c r="D58" s="44" t="s">
        <v>44</v>
      </c>
      <c r="E58" s="57" t="s">
        <v>741</v>
      </c>
      <c r="F58" s="54" t="s">
        <v>916</v>
      </c>
      <c r="G58" s="46">
        <v>30</v>
      </c>
      <c r="H58" s="70">
        <f>SUM(G58:G59)</f>
        <v>60</v>
      </c>
      <c r="I58" s="71" t="s">
        <v>857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spans="1:22" ht="31.95" customHeight="1" x14ac:dyDescent="0.25">
      <c r="A59" s="76"/>
      <c r="B59" s="35" t="s">
        <v>84</v>
      </c>
      <c r="C59" s="35" t="s">
        <v>725</v>
      </c>
      <c r="D59" s="36" t="s">
        <v>719</v>
      </c>
      <c r="E59" s="53" t="s">
        <v>742</v>
      </c>
      <c r="F59" s="43" t="s">
        <v>917</v>
      </c>
      <c r="G59" s="37">
        <v>30</v>
      </c>
      <c r="H59" s="70"/>
      <c r="I59" s="71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spans="1:22" ht="31.95" customHeight="1" x14ac:dyDescent="0.25">
      <c r="A60" s="69">
        <v>25</v>
      </c>
      <c r="B60" s="35" t="s">
        <v>84</v>
      </c>
      <c r="C60" s="35" t="s">
        <v>725</v>
      </c>
      <c r="D60" s="44" t="s">
        <v>44</v>
      </c>
      <c r="E60" s="57" t="s">
        <v>741</v>
      </c>
      <c r="F60" s="54" t="s">
        <v>918</v>
      </c>
      <c r="G60" s="46">
        <v>30</v>
      </c>
      <c r="H60" s="70">
        <f>SUM(G60:G61)</f>
        <v>60</v>
      </c>
      <c r="I60" s="71" t="s">
        <v>858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spans="1:22" ht="31.95" customHeight="1" x14ac:dyDescent="0.25">
      <c r="A61" s="76"/>
      <c r="B61" s="35" t="s">
        <v>84</v>
      </c>
      <c r="C61" s="35" t="s">
        <v>725</v>
      </c>
      <c r="D61" s="36" t="s">
        <v>719</v>
      </c>
      <c r="E61" s="53" t="s">
        <v>742</v>
      </c>
      <c r="F61" s="43" t="s">
        <v>919</v>
      </c>
      <c r="G61" s="37">
        <v>30</v>
      </c>
      <c r="H61" s="70"/>
      <c r="I61" s="71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spans="1:22" ht="31.95" customHeight="1" x14ac:dyDescent="0.25">
      <c r="A62" s="69">
        <v>26</v>
      </c>
      <c r="B62" s="35" t="s">
        <v>84</v>
      </c>
      <c r="C62" s="35" t="s">
        <v>725</v>
      </c>
      <c r="D62" s="44" t="s">
        <v>44</v>
      </c>
      <c r="E62" s="57" t="s">
        <v>741</v>
      </c>
      <c r="F62" s="54" t="s">
        <v>920</v>
      </c>
      <c r="G62" s="46">
        <v>30</v>
      </c>
      <c r="H62" s="70">
        <f t="shared" ref="H62" si="0">SUM(G62:G63)</f>
        <v>60</v>
      </c>
      <c r="I62" s="71" t="s">
        <v>859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spans="1:22" ht="31.95" customHeight="1" x14ac:dyDescent="0.25">
      <c r="A63" s="76"/>
      <c r="B63" s="35" t="s">
        <v>84</v>
      </c>
      <c r="C63" s="35" t="s">
        <v>725</v>
      </c>
      <c r="D63" s="36" t="s">
        <v>719</v>
      </c>
      <c r="E63" s="53" t="s">
        <v>742</v>
      </c>
      <c r="F63" s="43" t="s">
        <v>921</v>
      </c>
      <c r="G63" s="37">
        <v>30</v>
      </c>
      <c r="H63" s="70"/>
      <c r="I63" s="71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spans="1:22" ht="31.95" customHeight="1" x14ac:dyDescent="0.25">
      <c r="A64" s="69">
        <v>27</v>
      </c>
      <c r="B64" s="35" t="s">
        <v>84</v>
      </c>
      <c r="C64" s="35" t="s">
        <v>725</v>
      </c>
      <c r="D64" s="44" t="s">
        <v>44</v>
      </c>
      <c r="E64" s="57" t="s">
        <v>741</v>
      </c>
      <c r="F64" s="54" t="s">
        <v>922</v>
      </c>
      <c r="G64" s="46">
        <v>30</v>
      </c>
      <c r="H64" s="70">
        <f t="shared" ref="H64" si="1">SUM(G64:G65)</f>
        <v>60</v>
      </c>
      <c r="I64" s="71" t="s">
        <v>860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spans="1:22" ht="31.95" customHeight="1" x14ac:dyDescent="0.25">
      <c r="A65" s="76"/>
      <c r="B65" s="35" t="s">
        <v>84</v>
      </c>
      <c r="C65" s="35" t="s">
        <v>725</v>
      </c>
      <c r="D65" s="36" t="s">
        <v>719</v>
      </c>
      <c r="E65" s="53" t="s">
        <v>742</v>
      </c>
      <c r="F65" s="43" t="s">
        <v>923</v>
      </c>
      <c r="G65" s="37">
        <v>30</v>
      </c>
      <c r="H65" s="70"/>
      <c r="I65" s="71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spans="1:22" ht="31.95" customHeight="1" x14ac:dyDescent="0.25">
      <c r="A66" s="69">
        <v>28</v>
      </c>
      <c r="B66" s="35" t="s">
        <v>84</v>
      </c>
      <c r="C66" s="35" t="s">
        <v>725</v>
      </c>
      <c r="D66" s="44" t="s">
        <v>44</v>
      </c>
      <c r="E66" s="57" t="s">
        <v>741</v>
      </c>
      <c r="F66" s="54" t="s">
        <v>924</v>
      </c>
      <c r="G66" s="46">
        <v>30</v>
      </c>
      <c r="H66" s="70">
        <f t="shared" ref="H66" si="2">SUM(G66:G67)</f>
        <v>59</v>
      </c>
      <c r="I66" s="71" t="s">
        <v>861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spans="1:22" ht="31.95" customHeight="1" x14ac:dyDescent="0.25">
      <c r="A67" s="76"/>
      <c r="B67" s="35" t="s">
        <v>84</v>
      </c>
      <c r="C67" s="35" t="s">
        <v>725</v>
      </c>
      <c r="D67" s="36" t="s">
        <v>719</v>
      </c>
      <c r="E67" s="53" t="s">
        <v>742</v>
      </c>
      <c r="F67" s="43" t="s">
        <v>1024</v>
      </c>
      <c r="G67" s="37">
        <v>29</v>
      </c>
      <c r="H67" s="70"/>
      <c r="I67" s="71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spans="1:22" ht="31.95" customHeight="1" x14ac:dyDescent="0.25">
      <c r="A68" s="69">
        <v>29</v>
      </c>
      <c r="B68" s="35" t="s">
        <v>84</v>
      </c>
      <c r="C68" s="35" t="s">
        <v>725</v>
      </c>
      <c r="D68" s="44" t="s">
        <v>44</v>
      </c>
      <c r="E68" s="57" t="s">
        <v>741</v>
      </c>
      <c r="F68" s="54" t="s">
        <v>925</v>
      </c>
      <c r="G68" s="46">
        <v>30</v>
      </c>
      <c r="H68" s="70">
        <f t="shared" ref="H68" si="3">SUM(G68:G70)</f>
        <v>60</v>
      </c>
      <c r="I68" s="71" t="s">
        <v>862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spans="1:22" ht="31.95" customHeight="1" x14ac:dyDescent="0.25">
      <c r="A69" s="69"/>
      <c r="B69" s="35" t="s">
        <v>32</v>
      </c>
      <c r="C69" s="35" t="s">
        <v>725</v>
      </c>
      <c r="D69" s="36" t="s">
        <v>719</v>
      </c>
      <c r="E69" s="53" t="s">
        <v>742</v>
      </c>
      <c r="F69" s="54" t="s">
        <v>753</v>
      </c>
      <c r="G69" s="46">
        <v>7</v>
      </c>
      <c r="H69" s="70"/>
      <c r="I69" s="71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spans="1:22" ht="72" x14ac:dyDescent="0.25">
      <c r="A70" s="76"/>
      <c r="B70" s="35" t="s">
        <v>69</v>
      </c>
      <c r="C70" s="35" t="s">
        <v>725</v>
      </c>
      <c r="D70" s="36" t="s">
        <v>719</v>
      </c>
      <c r="E70" s="53" t="s">
        <v>742</v>
      </c>
      <c r="F70" s="52" t="s">
        <v>751</v>
      </c>
      <c r="G70" s="37">
        <v>23</v>
      </c>
      <c r="H70" s="70"/>
      <c r="I70" s="71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spans="1:22" ht="31.95" customHeight="1" x14ac:dyDescent="0.25">
      <c r="A71" s="69">
        <v>30</v>
      </c>
      <c r="B71" s="35" t="s">
        <v>84</v>
      </c>
      <c r="C71" s="35" t="s">
        <v>725</v>
      </c>
      <c r="D71" s="44" t="s">
        <v>44</v>
      </c>
      <c r="E71" s="57" t="s">
        <v>741</v>
      </c>
      <c r="F71" s="54" t="s">
        <v>1028</v>
      </c>
      <c r="G71" s="46">
        <v>5</v>
      </c>
      <c r="H71" s="70">
        <f>SUM(G71:G74)</f>
        <v>58</v>
      </c>
      <c r="I71" s="71" t="s">
        <v>863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spans="1:22" ht="54" x14ac:dyDescent="0.25">
      <c r="A72" s="69"/>
      <c r="B72" s="35" t="s">
        <v>32</v>
      </c>
      <c r="C72" s="35" t="s">
        <v>725</v>
      </c>
      <c r="D72" s="44" t="s">
        <v>44</v>
      </c>
      <c r="E72" s="57" t="s">
        <v>741</v>
      </c>
      <c r="F72" s="54" t="s">
        <v>763</v>
      </c>
      <c r="G72" s="46">
        <v>22</v>
      </c>
      <c r="H72" s="70"/>
      <c r="I72" s="71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spans="1:22" ht="36" x14ac:dyDescent="0.25">
      <c r="A73" s="69"/>
      <c r="B73" s="35" t="s">
        <v>32</v>
      </c>
      <c r="C73" s="35" t="s">
        <v>725</v>
      </c>
      <c r="D73" s="36" t="s">
        <v>8</v>
      </c>
      <c r="E73" s="53" t="s">
        <v>41</v>
      </c>
      <c r="F73" s="52" t="s">
        <v>750</v>
      </c>
      <c r="G73" s="37">
        <v>8</v>
      </c>
      <c r="H73" s="70"/>
      <c r="I73" s="71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spans="1:22" ht="72" x14ac:dyDescent="0.25">
      <c r="A74" s="76"/>
      <c r="B74" s="35" t="s">
        <v>32</v>
      </c>
      <c r="C74" s="35" t="s">
        <v>725</v>
      </c>
      <c r="D74" s="36" t="s">
        <v>719</v>
      </c>
      <c r="E74" s="53" t="s">
        <v>742</v>
      </c>
      <c r="F74" s="54" t="s">
        <v>754</v>
      </c>
      <c r="G74" s="37">
        <v>23</v>
      </c>
      <c r="H74" s="70"/>
      <c r="I74" s="71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spans="1:22" ht="72" x14ac:dyDescent="0.25">
      <c r="A75" s="134">
        <v>31</v>
      </c>
      <c r="B75" s="35" t="s">
        <v>69</v>
      </c>
      <c r="C75" s="35" t="s">
        <v>725</v>
      </c>
      <c r="D75" s="44" t="s">
        <v>44</v>
      </c>
      <c r="E75" s="57" t="s">
        <v>741</v>
      </c>
      <c r="F75" s="52" t="s">
        <v>762</v>
      </c>
      <c r="G75" s="37">
        <v>28</v>
      </c>
      <c r="H75" s="132">
        <f>SUM(G75:G77)</f>
        <v>59</v>
      </c>
      <c r="I75" s="130" t="s">
        <v>864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spans="1:22" ht="30.6" customHeight="1" x14ac:dyDescent="0.25">
      <c r="A76" s="135"/>
      <c r="B76" s="35" t="s">
        <v>32</v>
      </c>
      <c r="C76" s="35" t="s">
        <v>725</v>
      </c>
      <c r="D76" s="44" t="s">
        <v>44</v>
      </c>
      <c r="E76" s="57" t="s">
        <v>741</v>
      </c>
      <c r="F76" s="52" t="s">
        <v>766</v>
      </c>
      <c r="G76" s="37">
        <v>2</v>
      </c>
      <c r="H76" s="133"/>
      <c r="I76" s="131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spans="1:22" ht="31.95" customHeight="1" x14ac:dyDescent="0.25">
      <c r="A77" s="69"/>
      <c r="B77" s="35" t="s">
        <v>84</v>
      </c>
      <c r="C77" s="35" t="s">
        <v>725</v>
      </c>
      <c r="D77" s="36" t="s">
        <v>8</v>
      </c>
      <c r="E77" s="53" t="s">
        <v>41</v>
      </c>
      <c r="F77" s="43" t="s">
        <v>1003</v>
      </c>
      <c r="G77" s="37">
        <v>29</v>
      </c>
      <c r="H77" s="77"/>
      <c r="I77" s="78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spans="1:22" ht="88.8" customHeight="1" x14ac:dyDescent="0.25">
      <c r="A78" s="69">
        <v>32</v>
      </c>
      <c r="B78" s="35" t="s">
        <v>32</v>
      </c>
      <c r="C78" s="35" t="s">
        <v>725</v>
      </c>
      <c r="D78" s="44" t="s">
        <v>44</v>
      </c>
      <c r="E78" s="57" t="s">
        <v>741</v>
      </c>
      <c r="F78" s="52" t="s">
        <v>764</v>
      </c>
      <c r="G78" s="37">
        <v>30</v>
      </c>
      <c r="H78" s="70">
        <f t="shared" ref="H78" si="4">SUM(G78:G79)</f>
        <v>60</v>
      </c>
      <c r="I78" s="71" t="s">
        <v>865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spans="1:22" ht="31.95" customHeight="1" x14ac:dyDescent="0.25">
      <c r="A79" s="76"/>
      <c r="B79" s="35" t="s">
        <v>84</v>
      </c>
      <c r="C79" s="35" t="s">
        <v>725</v>
      </c>
      <c r="D79" s="36" t="s">
        <v>8</v>
      </c>
      <c r="E79" s="53" t="s">
        <v>41</v>
      </c>
      <c r="F79" s="43" t="s">
        <v>926</v>
      </c>
      <c r="G79" s="37">
        <v>30</v>
      </c>
      <c r="H79" s="70"/>
      <c r="I79" s="71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spans="1:22" ht="54" x14ac:dyDescent="0.25">
      <c r="A80" s="69">
        <v>33</v>
      </c>
      <c r="B80" s="35" t="s">
        <v>32</v>
      </c>
      <c r="C80" s="35" t="s">
        <v>725</v>
      </c>
      <c r="D80" s="44" t="s">
        <v>44</v>
      </c>
      <c r="E80" s="57" t="s">
        <v>741</v>
      </c>
      <c r="F80" s="52" t="s">
        <v>765</v>
      </c>
      <c r="G80" s="37">
        <v>15</v>
      </c>
      <c r="H80" s="70">
        <f>SUM(G80:G87)</f>
        <v>60</v>
      </c>
      <c r="I80" s="71" t="s">
        <v>866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spans="1:22" ht="31.95" customHeight="1" x14ac:dyDescent="0.25">
      <c r="A81" s="69"/>
      <c r="B81" s="35" t="s">
        <v>84</v>
      </c>
      <c r="C81" s="35" t="s">
        <v>725</v>
      </c>
      <c r="D81" s="44" t="s">
        <v>717</v>
      </c>
      <c r="E81" s="57" t="s">
        <v>741</v>
      </c>
      <c r="F81" s="43" t="s">
        <v>927</v>
      </c>
      <c r="G81" s="37">
        <v>15</v>
      </c>
      <c r="H81" s="70"/>
      <c r="I81" s="71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spans="1:22" ht="31.95" customHeight="1" x14ac:dyDescent="0.25">
      <c r="A82" s="69"/>
      <c r="B82" s="35" t="s">
        <v>84</v>
      </c>
      <c r="C82" s="35" t="s">
        <v>725</v>
      </c>
      <c r="D82" s="36" t="s">
        <v>8</v>
      </c>
      <c r="E82" s="53" t="s">
        <v>41</v>
      </c>
      <c r="F82" s="43" t="s">
        <v>928</v>
      </c>
      <c r="G82" s="37">
        <v>6</v>
      </c>
      <c r="H82" s="70"/>
      <c r="I82" s="71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spans="1:22" ht="36" x14ac:dyDescent="0.25">
      <c r="A83" s="69"/>
      <c r="B83" s="35" t="s">
        <v>69</v>
      </c>
      <c r="C83" s="35" t="s">
        <v>725</v>
      </c>
      <c r="D83" s="36" t="s">
        <v>8</v>
      </c>
      <c r="E83" s="53" t="s">
        <v>41</v>
      </c>
      <c r="F83" s="52" t="s">
        <v>748</v>
      </c>
      <c r="G83" s="37">
        <v>10</v>
      </c>
      <c r="H83" s="70"/>
      <c r="I83" s="71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spans="1:22" ht="36" x14ac:dyDescent="0.25">
      <c r="A84" s="69"/>
      <c r="B84" s="35" t="s">
        <v>32</v>
      </c>
      <c r="C84" s="35" t="s">
        <v>725</v>
      </c>
      <c r="D84" s="36" t="s">
        <v>8</v>
      </c>
      <c r="E84" s="53" t="s">
        <v>41</v>
      </c>
      <c r="F84" s="52" t="s">
        <v>749</v>
      </c>
      <c r="G84" s="37">
        <v>7</v>
      </c>
      <c r="H84" s="70"/>
      <c r="I84" s="71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  <row r="85" spans="1:22" ht="28.8" customHeight="1" x14ac:dyDescent="0.25">
      <c r="A85" s="129"/>
      <c r="B85" s="35" t="s">
        <v>69</v>
      </c>
      <c r="C85" s="35" t="s">
        <v>725</v>
      </c>
      <c r="D85" s="36" t="s">
        <v>718</v>
      </c>
      <c r="E85" s="53" t="s">
        <v>742</v>
      </c>
      <c r="F85" s="54" t="s">
        <v>759</v>
      </c>
      <c r="G85" s="46">
        <v>2</v>
      </c>
      <c r="H85" s="70"/>
      <c r="I85" s="71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</row>
    <row r="86" spans="1:22" ht="31.95" customHeight="1" x14ac:dyDescent="0.25">
      <c r="A86" s="69"/>
      <c r="B86" s="35" t="s">
        <v>32</v>
      </c>
      <c r="C86" s="35" t="s">
        <v>726</v>
      </c>
      <c r="D86" s="36" t="s">
        <v>120</v>
      </c>
      <c r="E86" s="53" t="s">
        <v>744</v>
      </c>
      <c r="F86" s="43" t="s">
        <v>775</v>
      </c>
      <c r="G86" s="37">
        <v>3</v>
      </c>
      <c r="H86" s="70"/>
      <c r="I86" s="71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</row>
    <row r="87" spans="1:22" ht="31.95" customHeight="1" x14ac:dyDescent="0.25">
      <c r="A87" s="69"/>
      <c r="B87" s="35" t="s">
        <v>84</v>
      </c>
      <c r="C87" s="35" t="s">
        <v>725</v>
      </c>
      <c r="D87" s="36" t="s">
        <v>31</v>
      </c>
      <c r="E87" s="53" t="s">
        <v>745</v>
      </c>
      <c r="F87" s="43" t="s">
        <v>929</v>
      </c>
      <c r="G87" s="37">
        <v>2</v>
      </c>
      <c r="H87" s="70"/>
      <c r="I87" s="71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</row>
    <row r="88" spans="1:22" ht="31.95" customHeight="1" x14ac:dyDescent="0.25">
      <c r="A88" s="69">
        <v>34</v>
      </c>
      <c r="B88" s="35" t="s">
        <v>84</v>
      </c>
      <c r="C88" s="35" t="s">
        <v>725</v>
      </c>
      <c r="D88" s="44" t="s">
        <v>717</v>
      </c>
      <c r="E88" s="57" t="s">
        <v>741</v>
      </c>
      <c r="F88" s="43" t="s">
        <v>930</v>
      </c>
      <c r="G88" s="37">
        <v>30</v>
      </c>
      <c r="H88" s="70">
        <f t="shared" ref="H88" si="5">SUM(G88:G89)</f>
        <v>60</v>
      </c>
      <c r="I88" s="71" t="s">
        <v>867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</row>
    <row r="89" spans="1:22" ht="31.95" customHeight="1" x14ac:dyDescent="0.25">
      <c r="A89" s="76"/>
      <c r="B89" s="35" t="s">
        <v>84</v>
      </c>
      <c r="C89" s="35" t="s">
        <v>725</v>
      </c>
      <c r="D89" s="36" t="s">
        <v>31</v>
      </c>
      <c r="E89" s="53" t="s">
        <v>745</v>
      </c>
      <c r="F89" s="43" t="s">
        <v>931</v>
      </c>
      <c r="G89" s="37">
        <v>30</v>
      </c>
      <c r="H89" s="70"/>
      <c r="I89" s="71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</row>
    <row r="90" spans="1:22" ht="31.95" customHeight="1" x14ac:dyDescent="0.25">
      <c r="A90" s="69">
        <v>35</v>
      </c>
      <c r="B90" s="35" t="s">
        <v>84</v>
      </c>
      <c r="C90" s="35" t="s">
        <v>725</v>
      </c>
      <c r="D90" s="44" t="s">
        <v>717</v>
      </c>
      <c r="E90" s="57" t="s">
        <v>741</v>
      </c>
      <c r="F90" s="43" t="s">
        <v>932</v>
      </c>
      <c r="G90" s="37">
        <v>27</v>
      </c>
      <c r="H90" s="70">
        <f t="shared" ref="H90" si="6">SUM(G90:G91)</f>
        <v>54</v>
      </c>
      <c r="I90" s="71" t="s">
        <v>869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</row>
    <row r="91" spans="1:22" ht="31.95" customHeight="1" x14ac:dyDescent="0.25">
      <c r="A91" s="76"/>
      <c r="B91" s="35" t="s">
        <v>84</v>
      </c>
      <c r="C91" s="35" t="s">
        <v>725</v>
      </c>
      <c r="D91" s="36" t="s">
        <v>31</v>
      </c>
      <c r="E91" s="53" t="s">
        <v>745</v>
      </c>
      <c r="F91" s="43" t="s">
        <v>933</v>
      </c>
      <c r="G91" s="37">
        <v>27</v>
      </c>
      <c r="H91" s="70"/>
      <c r="I91" s="71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</row>
    <row r="92" spans="1:22" ht="31.95" customHeight="1" x14ac:dyDescent="0.25">
      <c r="A92" s="69">
        <v>36</v>
      </c>
      <c r="B92" s="35" t="s">
        <v>84</v>
      </c>
      <c r="C92" s="35" t="s">
        <v>725</v>
      </c>
      <c r="D92" s="44" t="s">
        <v>717</v>
      </c>
      <c r="E92" s="57" t="s">
        <v>741</v>
      </c>
      <c r="F92" s="43" t="s">
        <v>934</v>
      </c>
      <c r="G92" s="37">
        <v>27</v>
      </c>
      <c r="H92" s="70">
        <f t="shared" ref="H92" si="7">SUM(G92:G93)</f>
        <v>53</v>
      </c>
      <c r="I92" s="71" t="s">
        <v>870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</row>
    <row r="93" spans="1:22" ht="36" x14ac:dyDescent="0.25">
      <c r="A93" s="76"/>
      <c r="B93" s="35" t="s">
        <v>84</v>
      </c>
      <c r="C93" s="35" t="s">
        <v>725</v>
      </c>
      <c r="D93" s="36" t="s">
        <v>31</v>
      </c>
      <c r="E93" s="53" t="s">
        <v>745</v>
      </c>
      <c r="F93" s="52" t="s">
        <v>1025</v>
      </c>
      <c r="G93" s="37">
        <v>26</v>
      </c>
      <c r="H93" s="70"/>
      <c r="I93" s="71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</row>
    <row r="94" spans="1:22" ht="31.95" customHeight="1" x14ac:dyDescent="0.25">
      <c r="A94" s="69">
        <v>37</v>
      </c>
      <c r="B94" s="35" t="s">
        <v>84</v>
      </c>
      <c r="C94" s="35" t="s">
        <v>725</v>
      </c>
      <c r="D94" s="44" t="s">
        <v>717</v>
      </c>
      <c r="E94" s="57" t="s">
        <v>741</v>
      </c>
      <c r="F94" s="43" t="s">
        <v>935</v>
      </c>
      <c r="G94" s="37">
        <v>27</v>
      </c>
      <c r="H94" s="70">
        <f t="shared" ref="H94" si="8">SUM(G94:G95)</f>
        <v>54</v>
      </c>
      <c r="I94" s="71" t="s">
        <v>871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</row>
    <row r="95" spans="1:22" ht="31.95" customHeight="1" x14ac:dyDescent="0.25">
      <c r="A95" s="76"/>
      <c r="B95" s="35" t="s">
        <v>84</v>
      </c>
      <c r="C95" s="35" t="s">
        <v>725</v>
      </c>
      <c r="D95" s="36" t="s">
        <v>31</v>
      </c>
      <c r="E95" s="53" t="s">
        <v>745</v>
      </c>
      <c r="F95" s="43" t="s">
        <v>936</v>
      </c>
      <c r="G95" s="37">
        <v>27</v>
      </c>
      <c r="H95" s="70"/>
      <c r="I95" s="71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</row>
    <row r="96" spans="1:22" ht="31.95" customHeight="1" x14ac:dyDescent="0.25">
      <c r="A96" s="69">
        <v>38</v>
      </c>
      <c r="B96" s="35" t="s">
        <v>84</v>
      </c>
      <c r="C96" s="35" t="s">
        <v>725</v>
      </c>
      <c r="D96" s="44" t="s">
        <v>717</v>
      </c>
      <c r="E96" s="57" t="s">
        <v>741</v>
      </c>
      <c r="F96" s="43" t="s">
        <v>937</v>
      </c>
      <c r="G96" s="37">
        <v>27</v>
      </c>
      <c r="H96" s="70">
        <f>SUM(G96:G97)</f>
        <v>54</v>
      </c>
      <c r="I96" s="71" t="s">
        <v>872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</row>
    <row r="97" spans="1:22" ht="31.95" customHeight="1" x14ac:dyDescent="0.25">
      <c r="A97" s="69"/>
      <c r="B97" s="35" t="s">
        <v>84</v>
      </c>
      <c r="C97" s="35" t="s">
        <v>725</v>
      </c>
      <c r="D97" s="36" t="s">
        <v>33</v>
      </c>
      <c r="E97" s="53" t="s">
        <v>747</v>
      </c>
      <c r="F97" s="43" t="s">
        <v>938</v>
      </c>
      <c r="G97" s="37">
        <v>27</v>
      </c>
      <c r="H97" s="70"/>
      <c r="I97" s="71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</row>
    <row r="98" spans="1:22" ht="31.95" customHeight="1" x14ac:dyDescent="0.25">
      <c r="A98" s="69">
        <v>39</v>
      </c>
      <c r="B98" s="35" t="s">
        <v>84</v>
      </c>
      <c r="C98" s="35" t="s">
        <v>725</v>
      </c>
      <c r="D98" s="44" t="s">
        <v>717</v>
      </c>
      <c r="E98" s="57" t="s">
        <v>741</v>
      </c>
      <c r="F98" s="43" t="s">
        <v>939</v>
      </c>
      <c r="G98" s="37">
        <v>27</v>
      </c>
      <c r="H98" s="70">
        <f t="shared" ref="H98:H107" si="9">SUM(G98:G99)</f>
        <v>54</v>
      </c>
      <c r="I98" s="71" t="s">
        <v>873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</row>
    <row r="99" spans="1:22" ht="31.95" customHeight="1" x14ac:dyDescent="0.25">
      <c r="A99" s="76"/>
      <c r="B99" s="35" t="s">
        <v>84</v>
      </c>
      <c r="C99" s="35" t="s">
        <v>725</v>
      </c>
      <c r="D99" s="36" t="s">
        <v>26</v>
      </c>
      <c r="E99" s="53" t="s">
        <v>746</v>
      </c>
      <c r="F99" s="43" t="s">
        <v>940</v>
      </c>
      <c r="G99" s="37">
        <v>27</v>
      </c>
      <c r="H99" s="70"/>
      <c r="I99" s="71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</row>
    <row r="100" spans="1:22" ht="31.95" customHeight="1" x14ac:dyDescent="0.25">
      <c r="A100" s="69">
        <v>40</v>
      </c>
      <c r="B100" s="35" t="s">
        <v>84</v>
      </c>
      <c r="C100" s="35" t="s">
        <v>725</v>
      </c>
      <c r="D100" s="44" t="s">
        <v>717</v>
      </c>
      <c r="E100" s="57" t="s">
        <v>741</v>
      </c>
      <c r="F100" s="43" t="s">
        <v>941</v>
      </c>
      <c r="G100" s="37">
        <v>12</v>
      </c>
      <c r="H100" s="70">
        <f>SUM(G100:G102)</f>
        <v>54</v>
      </c>
      <c r="I100" s="71" t="s">
        <v>874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</row>
    <row r="101" spans="1:22" ht="54" x14ac:dyDescent="0.25">
      <c r="A101" s="69"/>
      <c r="B101" s="35" t="s">
        <v>32</v>
      </c>
      <c r="C101" s="35" t="s">
        <v>725</v>
      </c>
      <c r="D101" s="44" t="s">
        <v>717</v>
      </c>
      <c r="E101" s="57" t="s">
        <v>741</v>
      </c>
      <c r="F101" s="52" t="s">
        <v>767</v>
      </c>
      <c r="G101" s="37">
        <v>15</v>
      </c>
      <c r="H101" s="70"/>
      <c r="I101" s="71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</row>
    <row r="102" spans="1:22" ht="31.95" customHeight="1" x14ac:dyDescent="0.25">
      <c r="A102" s="76"/>
      <c r="B102" s="35" t="s">
        <v>84</v>
      </c>
      <c r="C102" s="35" t="s">
        <v>725</v>
      </c>
      <c r="D102" s="36" t="s">
        <v>26</v>
      </c>
      <c r="E102" s="53" t="s">
        <v>746</v>
      </c>
      <c r="F102" s="43" t="s">
        <v>942</v>
      </c>
      <c r="G102" s="37">
        <v>27</v>
      </c>
      <c r="H102" s="70"/>
      <c r="I102" s="71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</row>
    <row r="103" spans="1:22" ht="31.95" customHeight="1" x14ac:dyDescent="0.25">
      <c r="A103" s="69">
        <v>41</v>
      </c>
      <c r="B103" s="35" t="s">
        <v>84</v>
      </c>
      <c r="C103" s="35" t="s">
        <v>725</v>
      </c>
      <c r="D103" s="36" t="s">
        <v>33</v>
      </c>
      <c r="E103" s="53" t="s">
        <v>747</v>
      </c>
      <c r="F103" s="43" t="s">
        <v>943</v>
      </c>
      <c r="G103" s="37">
        <v>18</v>
      </c>
      <c r="H103" s="70">
        <f>SUM(G103:G106)</f>
        <v>52</v>
      </c>
      <c r="I103" s="71" t="s">
        <v>875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</row>
    <row r="104" spans="1:22" ht="31.95" customHeight="1" x14ac:dyDescent="0.25">
      <c r="A104" s="69"/>
      <c r="B104" s="35" t="s">
        <v>32</v>
      </c>
      <c r="C104" s="35" t="s">
        <v>725</v>
      </c>
      <c r="D104" s="36" t="s">
        <v>33</v>
      </c>
      <c r="E104" s="53" t="s">
        <v>747</v>
      </c>
      <c r="F104" s="43" t="s">
        <v>774</v>
      </c>
      <c r="G104" s="37">
        <v>5</v>
      </c>
      <c r="H104" s="70"/>
      <c r="I104" s="71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</row>
    <row r="105" spans="1:22" ht="31.95" customHeight="1" x14ac:dyDescent="0.25">
      <c r="A105" s="69"/>
      <c r="B105" s="35" t="s">
        <v>69</v>
      </c>
      <c r="C105" s="35" t="s">
        <v>725</v>
      </c>
      <c r="D105" s="36" t="s">
        <v>33</v>
      </c>
      <c r="E105" s="53" t="s">
        <v>747</v>
      </c>
      <c r="F105" s="43" t="s">
        <v>773</v>
      </c>
      <c r="G105" s="37">
        <v>2</v>
      </c>
      <c r="H105" s="70"/>
      <c r="I105" s="71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 ht="31.95" customHeight="1" x14ac:dyDescent="0.25">
      <c r="A106" s="76"/>
      <c r="B106" s="35" t="s">
        <v>84</v>
      </c>
      <c r="C106" s="35" t="s">
        <v>725</v>
      </c>
      <c r="D106" s="36" t="s">
        <v>26</v>
      </c>
      <c r="E106" s="53" t="s">
        <v>746</v>
      </c>
      <c r="F106" s="43" t="s">
        <v>944</v>
      </c>
      <c r="G106" s="37">
        <v>27</v>
      </c>
      <c r="H106" s="70"/>
      <c r="I106" s="71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 ht="31.95" customHeight="1" x14ac:dyDescent="0.25">
      <c r="A107" s="69">
        <v>42</v>
      </c>
      <c r="B107" s="35" t="s">
        <v>84</v>
      </c>
      <c r="C107" s="35" t="s">
        <v>725</v>
      </c>
      <c r="D107" s="36" t="s">
        <v>33</v>
      </c>
      <c r="E107" s="53" t="s">
        <v>747</v>
      </c>
      <c r="F107" s="43" t="s">
        <v>945</v>
      </c>
      <c r="G107" s="37">
        <v>27</v>
      </c>
      <c r="H107" s="70">
        <f t="shared" si="9"/>
        <v>54</v>
      </c>
      <c r="I107" s="71" t="s">
        <v>876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</row>
    <row r="108" spans="1:22" ht="31.95" customHeight="1" x14ac:dyDescent="0.25">
      <c r="A108" s="76"/>
      <c r="B108" s="35" t="s">
        <v>84</v>
      </c>
      <c r="C108" s="35" t="s">
        <v>725</v>
      </c>
      <c r="D108" s="36" t="s">
        <v>26</v>
      </c>
      <c r="E108" s="53" t="s">
        <v>746</v>
      </c>
      <c r="F108" s="43" t="s">
        <v>946</v>
      </c>
      <c r="G108" s="37">
        <v>27</v>
      </c>
      <c r="H108" s="70"/>
      <c r="I108" s="71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</row>
    <row r="109" spans="1:22" ht="31.95" customHeight="1" x14ac:dyDescent="0.25">
      <c r="A109" s="69">
        <v>43</v>
      </c>
      <c r="B109" s="35" t="s">
        <v>84</v>
      </c>
      <c r="C109" s="35" t="s">
        <v>725</v>
      </c>
      <c r="D109" s="36" t="s">
        <v>33</v>
      </c>
      <c r="E109" s="53" t="s">
        <v>747</v>
      </c>
      <c r="F109" s="43" t="s">
        <v>947</v>
      </c>
      <c r="G109" s="37">
        <v>27</v>
      </c>
      <c r="H109" s="70">
        <f>SUM(G109:G112)</f>
        <v>53</v>
      </c>
      <c r="I109" s="71" t="s">
        <v>520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</row>
    <row r="110" spans="1:22" ht="31.95" customHeight="1" x14ac:dyDescent="0.25">
      <c r="A110" s="69"/>
      <c r="B110" s="35" t="s">
        <v>84</v>
      </c>
      <c r="C110" s="35" t="s">
        <v>725</v>
      </c>
      <c r="D110" s="36" t="s">
        <v>26</v>
      </c>
      <c r="E110" s="53" t="s">
        <v>746</v>
      </c>
      <c r="F110" s="43" t="s">
        <v>1029</v>
      </c>
      <c r="G110" s="37">
        <v>17</v>
      </c>
      <c r="H110" s="70"/>
      <c r="I110" s="71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 ht="36" x14ac:dyDescent="0.25">
      <c r="A111" s="69"/>
      <c r="B111" s="35" t="s">
        <v>32</v>
      </c>
      <c r="C111" s="35" t="s">
        <v>725</v>
      </c>
      <c r="D111" s="36" t="s">
        <v>26</v>
      </c>
      <c r="E111" s="53" t="s">
        <v>746</v>
      </c>
      <c r="F111" s="52" t="s">
        <v>772</v>
      </c>
      <c r="G111" s="37">
        <v>8</v>
      </c>
      <c r="H111" s="70"/>
      <c r="I111" s="71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</row>
    <row r="112" spans="1:22" ht="31.95" customHeight="1" x14ac:dyDescent="0.25">
      <c r="A112" s="76"/>
      <c r="B112" s="35" t="s">
        <v>69</v>
      </c>
      <c r="C112" s="35" t="s">
        <v>725</v>
      </c>
      <c r="D112" s="36" t="s">
        <v>26</v>
      </c>
      <c r="E112" s="53" t="s">
        <v>746</v>
      </c>
      <c r="F112" s="56" t="s">
        <v>948</v>
      </c>
      <c r="G112" s="37">
        <v>1</v>
      </c>
      <c r="H112" s="70"/>
      <c r="I112" s="71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</row>
    <row r="113" spans="1:22" ht="31.95" customHeight="1" x14ac:dyDescent="0.25">
      <c r="A113" s="69">
        <v>44</v>
      </c>
      <c r="B113" s="35" t="s">
        <v>84</v>
      </c>
      <c r="C113" s="35" t="s">
        <v>725</v>
      </c>
      <c r="D113" s="36" t="s">
        <v>33</v>
      </c>
      <c r="E113" s="53" t="s">
        <v>747</v>
      </c>
      <c r="F113" s="43" t="s">
        <v>949</v>
      </c>
      <c r="G113" s="37">
        <v>27</v>
      </c>
      <c r="H113" s="70">
        <f>SUM(G113:G117)</f>
        <v>54</v>
      </c>
      <c r="I113" s="71" t="s">
        <v>519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</row>
    <row r="114" spans="1:22" ht="36" x14ac:dyDescent="0.25">
      <c r="A114" s="69"/>
      <c r="B114" s="35" t="s">
        <v>32</v>
      </c>
      <c r="C114" s="35" t="s">
        <v>725</v>
      </c>
      <c r="D114" s="36" t="s">
        <v>31</v>
      </c>
      <c r="E114" s="53" t="s">
        <v>745</v>
      </c>
      <c r="F114" s="52" t="s">
        <v>771</v>
      </c>
      <c r="G114" s="37">
        <v>9</v>
      </c>
      <c r="H114" s="70"/>
      <c r="I114" s="71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</row>
    <row r="115" spans="1:22" ht="31.95" customHeight="1" x14ac:dyDescent="0.25">
      <c r="A115" s="69"/>
      <c r="B115" s="35" t="s">
        <v>69</v>
      </c>
      <c r="C115" s="35" t="s">
        <v>725</v>
      </c>
      <c r="D115" s="36" t="s">
        <v>31</v>
      </c>
      <c r="E115" s="53" t="s">
        <v>745</v>
      </c>
      <c r="F115" s="43" t="s">
        <v>770</v>
      </c>
      <c r="G115" s="37">
        <v>4</v>
      </c>
      <c r="H115" s="70"/>
      <c r="I115" s="71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 ht="36" x14ac:dyDescent="0.25">
      <c r="A116" s="69"/>
      <c r="B116" s="35" t="s">
        <v>32</v>
      </c>
      <c r="C116" s="35" t="s">
        <v>725</v>
      </c>
      <c r="D116" s="44" t="s">
        <v>717</v>
      </c>
      <c r="E116" s="57" t="s">
        <v>741</v>
      </c>
      <c r="F116" s="52" t="s">
        <v>768</v>
      </c>
      <c r="G116" s="37">
        <v>12</v>
      </c>
      <c r="H116" s="70"/>
      <c r="I116" s="71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</row>
    <row r="117" spans="1:22" ht="31.95" customHeight="1" x14ac:dyDescent="0.25">
      <c r="A117" s="76"/>
      <c r="B117" s="35" t="s">
        <v>69</v>
      </c>
      <c r="C117" s="35" t="s">
        <v>725</v>
      </c>
      <c r="D117" s="44" t="s">
        <v>717</v>
      </c>
      <c r="E117" s="57" t="s">
        <v>741</v>
      </c>
      <c r="F117" s="43" t="s">
        <v>769</v>
      </c>
      <c r="G117" s="37">
        <v>2</v>
      </c>
      <c r="H117" s="70"/>
      <c r="I117" s="71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</row>
    <row r="118" spans="1:22" ht="15.75" customHeight="1" x14ac:dyDescent="0.3">
      <c r="A118" s="89" t="s">
        <v>15</v>
      </c>
      <c r="B118" s="89"/>
      <c r="C118" s="89"/>
      <c r="D118" s="89"/>
      <c r="E118" s="89"/>
      <c r="F118" s="89"/>
      <c r="G118" s="24"/>
      <c r="H118" s="17">
        <f>SUM(H7:H117)</f>
        <v>2529</v>
      </c>
      <c r="I118" s="38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1:22" ht="15.75" customHeight="1" x14ac:dyDescent="0.35">
      <c r="A119" s="90"/>
      <c r="B119" s="91"/>
      <c r="C119" s="91"/>
      <c r="D119" s="91"/>
      <c r="E119" s="91"/>
      <c r="F119" s="91"/>
      <c r="G119" s="92"/>
      <c r="H119" s="92"/>
      <c r="I119" s="93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1:22" ht="15.75" customHeight="1" x14ac:dyDescent="0.3">
      <c r="A120" s="94" t="s">
        <v>16</v>
      </c>
      <c r="B120" s="95"/>
      <c r="C120" s="95"/>
      <c r="D120" s="95"/>
      <c r="E120" s="95"/>
      <c r="F120" s="95"/>
      <c r="G120" s="95"/>
      <c r="H120" s="95"/>
      <c r="I120" s="9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1:22" ht="19.2" customHeight="1" x14ac:dyDescent="0.3">
      <c r="A121" s="94" t="s">
        <v>711</v>
      </c>
      <c r="B121" s="95"/>
      <c r="C121" s="95"/>
      <c r="D121" s="95"/>
      <c r="E121" s="95"/>
      <c r="F121" s="95"/>
      <c r="G121" s="95"/>
      <c r="H121" s="95"/>
      <c r="I121" s="9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1:22" ht="15.75" customHeight="1" x14ac:dyDescent="0.3">
      <c r="A122" s="80" t="s">
        <v>17</v>
      </c>
      <c r="B122" s="81"/>
      <c r="C122" s="81"/>
      <c r="D122" s="81"/>
      <c r="E122" s="81"/>
      <c r="F122" s="81"/>
      <c r="G122" s="81"/>
      <c r="H122" s="81"/>
      <c r="I122" s="8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1:22" ht="15.75" customHeight="1" x14ac:dyDescent="0.3">
      <c r="A123" s="83"/>
      <c r="B123" s="84"/>
      <c r="C123" s="84"/>
      <c r="D123" s="84"/>
      <c r="E123" s="84"/>
      <c r="F123" s="84"/>
      <c r="G123" s="84"/>
      <c r="H123" s="84"/>
      <c r="I123" s="85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1:22" ht="15.75" customHeight="1" x14ac:dyDescent="0.3">
      <c r="A124" s="83"/>
      <c r="B124" s="84"/>
      <c r="C124" s="84"/>
      <c r="D124" s="84"/>
      <c r="E124" s="84"/>
      <c r="F124" s="84"/>
      <c r="G124" s="84"/>
      <c r="H124" s="84"/>
      <c r="I124" s="85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1:22" ht="15.75" customHeight="1" x14ac:dyDescent="0.3">
      <c r="A125" s="86"/>
      <c r="B125" s="87"/>
      <c r="C125" s="87"/>
      <c r="D125" s="87"/>
      <c r="E125" s="87"/>
      <c r="F125" s="87"/>
      <c r="G125" s="87"/>
      <c r="H125" s="87"/>
      <c r="I125" s="88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1:22" ht="15.7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7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1:22" ht="15.7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7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1:22" ht="15.7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7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1:22" ht="15.7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7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1:22" ht="15.7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7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1:22" ht="15.7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7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1:22" ht="15.7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7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1:22" ht="15.7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7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1:22" ht="15.7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7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1:22" ht="15.7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7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1:22" ht="15.7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7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1:22" ht="15.7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7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1:22" ht="15.7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7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1:22" ht="15.7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7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1:22" ht="15.7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7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1:22" ht="15.7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1:22" ht="15.7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1:22" ht="15.7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1:22" ht="15.7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1:22" ht="15.7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1:22" ht="15.7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1:22" ht="15.7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1:22" ht="15.7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1:22" ht="15.7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1:22" ht="15.7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1:22" ht="15.7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1:22" ht="15.7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1:22" ht="15.7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1:22" ht="15.7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1:22" ht="15.7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1:22" ht="15.7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1:22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1:22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1:22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1:22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1:22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1:22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1:22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1:22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1:22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1:22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1:22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1:22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1:22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1:22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1:22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1:22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1:22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1:22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1:22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1:22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1:22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1:22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1:22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1:22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1:22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1:22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1:22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1:22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1:22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1:22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1:22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1:22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1:22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1:22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1:22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1:22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1:22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1:22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1:22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1:22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1:22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1:22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1:22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1:22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1:22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1:22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1:22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1:22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1:22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1:22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1:22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1:22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1:22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1:22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1:22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1:22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1:22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1:22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1:22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1:22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1:22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1:22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1:22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1:22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1:22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1:22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1:22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1:22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1:22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1:22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1:22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1:22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1:22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1:22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1:22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1:22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1:22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1:22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1:22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1:22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1:22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1:22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1:22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1:22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1:22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1:22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1:22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1:22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1:22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1:22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1:22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1:22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1:22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1:22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1:22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1:22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1:22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1:22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1:22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1:22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1:22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1:22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1:22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1:22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1:22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1:22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1:22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1:22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1:22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1:22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1:22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1:22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1:22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1:22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1:22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1:22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1:22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1:22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1:22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1:22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1:22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1:22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1:22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1:22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1:22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1:22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1:22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1:22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1:22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1:22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1:22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1:22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1:22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1:22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1:22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1:22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1:22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1:22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1:22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1:22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1:22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1:22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1:22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1:22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1:22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1:22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1:22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1:22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1:22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1:22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1:22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1:22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1:22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1:22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1:22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1:22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1:22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1:22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1:22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1:22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1:22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1:22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1:22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1:22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1:22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1:22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1:22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1:22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1:22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1:22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1:22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1:22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1:22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1:22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1:22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1:22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1:22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1:22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1:22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1:22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1:22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1:22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1:22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1:22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1:22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1:22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1:22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1:22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1:22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1:22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1:22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1:22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1:22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1:22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1:22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1:22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1:22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1:22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1:22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1:22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1:22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1:22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1:22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1:22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1:22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1:22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1:22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1:22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1:22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1:22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1:22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1:22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1:22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1:22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1:22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1:22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1:22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1:22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1:22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1:22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1:22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1:22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1:22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1:22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1:22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1:22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1:22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1:22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1:22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1:22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1:22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1:22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1:22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1:22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1:22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1:22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1:22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1:22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1:22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1:22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1:22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1:22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1:22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1:22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1:22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1:22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1:22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1:22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1:22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1:22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1:22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1:22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1:22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1:22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1:22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1:22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1:22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1:22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1:22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1:22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1:22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1:22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1:22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1:22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1:22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1:22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1:22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1:22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1:22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1:22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1:22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1:22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1:22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1:22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1:22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1:22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1:22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1:22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1:22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1:22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1:22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1:22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1:22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1:22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1:22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1:22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1:22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1:22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1:22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1:22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1:22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1:22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1:22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1:22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1:22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1:22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1:22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1:22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1:22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1:22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1:22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1:22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1:22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1:22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1:22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1:22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1:22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1:22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1:22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1:22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1:22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1:22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1:22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1:22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1:22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1:22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1:22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1:22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1:22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1:22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1:22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1:22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1:22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1:22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1:22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1:22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1:22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1:22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1:22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1:22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1:22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1:22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1:22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1:22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1:22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1:22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1:22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1:22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1:22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1:22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1:22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1:22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1:22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1:22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1:22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1:22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1:22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1:22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1:22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1:22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1:22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1:22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1:22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1:22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1:22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1:22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1:22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1:22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1:22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1:22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1:22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1:22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1:22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1:22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1:22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1:22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1:22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1:22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1:22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1:22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1:22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1:22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1:22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1:22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1:22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1:22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1:22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1:22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1:22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1:22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1:22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1:22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1:22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1:22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1:22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1:22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1:22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1:22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1:22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1:22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1:22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1:22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1:22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1:22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1:22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1:22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1:22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1:22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1:22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1:22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1:22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1:22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1:22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1:22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1:22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1:22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1:22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1:22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1:22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1:22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1:22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1:22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1:22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1:22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1:22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1:22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1:22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1:22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1:22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1:22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1:22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1:22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1:22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1:22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1:22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1:22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1:22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1:22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1:22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1:22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1:22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1:22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1:22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1:22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1:22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1:22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1:22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1:22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1:22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1:22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1:22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1:22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1:22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1:22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1:22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1:22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1:22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1:22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1:22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1:22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1:22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1:22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1:22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1:22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1:22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1:22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1:22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1:22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1:22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1:22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1:22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1:22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1:22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1:22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1:22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1:22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spans="1:22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spans="1:22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spans="1:22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spans="1:22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spans="1:22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spans="1:22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spans="1:22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spans="1:22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spans="1:22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spans="1:22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spans="1:22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spans="1:22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spans="1:22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spans="1:22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spans="1:22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spans="1:22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spans="1:22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spans="1:22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spans="1:22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spans="1:22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spans="1:22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spans="1:22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spans="1:22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spans="1:22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spans="1:22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spans="1:22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spans="1:22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spans="1:22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spans="1:22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spans="1:22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spans="1:22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spans="1:22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spans="1:22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spans="1:22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spans="1:22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spans="1:22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spans="1:22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spans="1:22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1:22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spans="1:22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spans="1:22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spans="1:22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spans="1:22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spans="1:22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spans="1:22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spans="1:22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spans="1:22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spans="1:22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spans="1:22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spans="1:22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</sheetData>
  <autoFilter ref="B6:I118" xr:uid="{00000000-0009-0000-0000-000009000000}"/>
  <mergeCells count="143">
    <mergeCell ref="I75:I77"/>
    <mergeCell ref="H75:H77"/>
    <mergeCell ref="A75:A77"/>
    <mergeCell ref="A118:F118"/>
    <mergeCell ref="A119:I119"/>
    <mergeCell ref="A120:I120"/>
    <mergeCell ref="A121:I121"/>
    <mergeCell ref="A122:I125"/>
    <mergeCell ref="A109:A112"/>
    <mergeCell ref="H109:H112"/>
    <mergeCell ref="I109:I112"/>
    <mergeCell ref="A113:A117"/>
    <mergeCell ref="H113:H117"/>
    <mergeCell ref="I113:I117"/>
    <mergeCell ref="A103:A106"/>
    <mergeCell ref="H103:H106"/>
    <mergeCell ref="I103:I106"/>
    <mergeCell ref="A107:A108"/>
    <mergeCell ref="H107:H108"/>
    <mergeCell ref="I107:I108"/>
    <mergeCell ref="A98:A99"/>
    <mergeCell ref="H98:H99"/>
    <mergeCell ref="I98:I99"/>
    <mergeCell ref="A100:A102"/>
    <mergeCell ref="H100:H102"/>
    <mergeCell ref="I100:I102"/>
    <mergeCell ref="A94:A95"/>
    <mergeCell ref="H94:H95"/>
    <mergeCell ref="I94:I95"/>
    <mergeCell ref="A96:A97"/>
    <mergeCell ref="H96:H97"/>
    <mergeCell ref="I96:I97"/>
    <mergeCell ref="A90:A91"/>
    <mergeCell ref="H90:H91"/>
    <mergeCell ref="I90:I91"/>
    <mergeCell ref="A92:A93"/>
    <mergeCell ref="H92:H93"/>
    <mergeCell ref="I92:I93"/>
    <mergeCell ref="A80:A87"/>
    <mergeCell ref="H80:H87"/>
    <mergeCell ref="I80:I87"/>
    <mergeCell ref="A88:A89"/>
    <mergeCell ref="H88:H89"/>
    <mergeCell ref="I88:I89"/>
    <mergeCell ref="A78:A79"/>
    <mergeCell ref="H78:H79"/>
    <mergeCell ref="I78:I79"/>
    <mergeCell ref="A68:A70"/>
    <mergeCell ref="H68:H70"/>
    <mergeCell ref="I68:I70"/>
    <mergeCell ref="A71:A74"/>
    <mergeCell ref="H71:H74"/>
    <mergeCell ref="I71:I74"/>
    <mergeCell ref="A64:A65"/>
    <mergeCell ref="H64:H65"/>
    <mergeCell ref="I64:I65"/>
    <mergeCell ref="A66:A67"/>
    <mergeCell ref="H66:H67"/>
    <mergeCell ref="I66:I67"/>
    <mergeCell ref="A60:A61"/>
    <mergeCell ref="H60:H61"/>
    <mergeCell ref="I60:I61"/>
    <mergeCell ref="A62:A63"/>
    <mergeCell ref="H62:H63"/>
    <mergeCell ref="I62:I63"/>
    <mergeCell ref="A56:A57"/>
    <mergeCell ref="H56:H57"/>
    <mergeCell ref="I56:I57"/>
    <mergeCell ref="A58:A59"/>
    <mergeCell ref="H58:H59"/>
    <mergeCell ref="I58:I59"/>
    <mergeCell ref="A52:A53"/>
    <mergeCell ref="H52:H53"/>
    <mergeCell ref="I52:I53"/>
    <mergeCell ref="A54:A55"/>
    <mergeCell ref="H54:H55"/>
    <mergeCell ref="I54:I55"/>
    <mergeCell ref="A48:A49"/>
    <mergeCell ref="H48:H49"/>
    <mergeCell ref="I48:I49"/>
    <mergeCell ref="A50:A51"/>
    <mergeCell ref="H50:H51"/>
    <mergeCell ref="I50:I51"/>
    <mergeCell ref="A44:A45"/>
    <mergeCell ref="H44:H45"/>
    <mergeCell ref="I44:I45"/>
    <mergeCell ref="A46:A47"/>
    <mergeCell ref="H46:H47"/>
    <mergeCell ref="I46:I47"/>
    <mergeCell ref="A39:A41"/>
    <mergeCell ref="H39:H41"/>
    <mergeCell ref="I39:I41"/>
    <mergeCell ref="A42:A43"/>
    <mergeCell ref="H42:H43"/>
    <mergeCell ref="I42:I43"/>
    <mergeCell ref="A35:A36"/>
    <mergeCell ref="H35:H36"/>
    <mergeCell ref="I35:I36"/>
    <mergeCell ref="A37:A38"/>
    <mergeCell ref="H37:H38"/>
    <mergeCell ref="I37:I38"/>
    <mergeCell ref="A28:A30"/>
    <mergeCell ref="H28:H30"/>
    <mergeCell ref="I28:I30"/>
    <mergeCell ref="A31:A34"/>
    <mergeCell ref="H31:H34"/>
    <mergeCell ref="I31:I34"/>
    <mergeCell ref="A23:A25"/>
    <mergeCell ref="H23:H25"/>
    <mergeCell ref="I23:I25"/>
    <mergeCell ref="A26:A27"/>
    <mergeCell ref="H26:H27"/>
    <mergeCell ref="I26:I27"/>
    <mergeCell ref="A19:A20"/>
    <mergeCell ref="H19:H20"/>
    <mergeCell ref="I19:I20"/>
    <mergeCell ref="A21:A22"/>
    <mergeCell ref="H21:H22"/>
    <mergeCell ref="I21:I22"/>
    <mergeCell ref="A1:I1"/>
    <mergeCell ref="A2:I2"/>
    <mergeCell ref="A3:I3"/>
    <mergeCell ref="F5:I5"/>
    <mergeCell ref="A15:A16"/>
    <mergeCell ref="H15:H16"/>
    <mergeCell ref="I15:I16"/>
    <mergeCell ref="A17:A18"/>
    <mergeCell ref="H17:H18"/>
    <mergeCell ref="I17:I18"/>
    <mergeCell ref="A13:A14"/>
    <mergeCell ref="H13:H14"/>
    <mergeCell ref="I13:I14"/>
    <mergeCell ref="A11:A12"/>
    <mergeCell ref="H11:H12"/>
    <mergeCell ref="I11:I12"/>
    <mergeCell ref="A5:E5"/>
    <mergeCell ref="A4:J4"/>
    <mergeCell ref="A7:A8"/>
    <mergeCell ref="H7:H8"/>
    <mergeCell ref="I7:I8"/>
    <mergeCell ref="A9:A10"/>
    <mergeCell ref="H9:H10"/>
    <mergeCell ref="I9:I10"/>
  </mergeCells>
  <conditionalFormatting sqref="A7:A117">
    <cfRule type="duplicateValues" dxfId="2" priority="327"/>
  </conditionalFormatting>
  <conditionalFormatting sqref="I7:I99">
    <cfRule type="duplicateValues" dxfId="1" priority="325"/>
  </conditionalFormatting>
  <conditionalFormatting sqref="I100:I117">
    <cfRule type="duplicateValues" dxfId="0" priority="314"/>
  </conditionalFormatting>
  <printOptions horizontalCentered="1"/>
  <pageMargins left="7.874015748031496E-2" right="7.874015748031496E-2" top="7.874015748031496E-2" bottom="7.874015748031496E-2" header="7.874015748031496E-2" footer="7.874015748031496E-2"/>
  <pageSetup paperSize="9" scale="73" fitToHeight="0" orientation="portrait" r:id="rId1"/>
  <rowBreaks count="1" manualBreakCount="1">
    <brk id="36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outlinePr summaryBelow="0" summaryRight="0"/>
  </sheetPr>
  <dimension ref="A1:Y688"/>
  <sheetViews>
    <sheetView zoomScale="85" zoomScaleNormal="85" workbookViewId="0">
      <pane ySplit="7" topLeftCell="A104" activePane="bottomLeft" state="frozen"/>
      <selection activeCell="D129" sqref="D129"/>
      <selection pane="bottomLeft" activeCell="D129" sqref="D129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208</v>
      </c>
      <c r="K2" s="12">
        <v>3373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669</v>
      </c>
      <c r="B4" s="115"/>
      <c r="C4" s="116"/>
      <c r="D4" s="116"/>
      <c r="E4" s="116"/>
      <c r="F4" s="116"/>
      <c r="G4" s="116"/>
      <c r="H4" s="116"/>
      <c r="I4" s="12"/>
      <c r="J4" s="12">
        <f>J2/J3</f>
        <v>7.7037037037037033</v>
      </c>
      <c r="K4" s="12">
        <f>K2/K3</f>
        <v>62.462962962962962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/>
      <c r="C8" s="6"/>
      <c r="D8" s="10"/>
      <c r="E8" s="8"/>
      <c r="F8" s="16"/>
      <c r="G8" s="99">
        <f>SUM(F8:F9)</f>
        <v>0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/>
      <c r="C9" s="6"/>
      <c r="D9" s="10"/>
      <c r="E9" s="8"/>
      <c r="F9" s="16"/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/>
      <c r="C10" s="6"/>
      <c r="D10" s="10"/>
      <c r="E10" s="8"/>
      <c r="F10" s="16"/>
      <c r="G10" s="99">
        <f t="shared" ref="G10" si="0">SUM(F10:F11)</f>
        <v>0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/>
      <c r="C11" s="6"/>
      <c r="D11" s="10"/>
      <c r="E11" s="8"/>
      <c r="F11" s="16"/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/>
      <c r="C12" s="6"/>
      <c r="D12" s="10"/>
      <c r="E12" s="8"/>
      <c r="F12" s="16"/>
      <c r="G12" s="99">
        <f t="shared" ref="G12" si="1">SUM(F12:F13)</f>
        <v>0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/>
      <c r="C13" s="6"/>
      <c r="D13" s="10"/>
      <c r="E13" s="8"/>
      <c r="F13" s="16"/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/>
      <c r="C14" s="6"/>
      <c r="D14" s="10"/>
      <c r="E14" s="8"/>
      <c r="F14" s="16"/>
      <c r="G14" s="99">
        <f t="shared" ref="G14" si="2">SUM(F14:F15)</f>
        <v>0</v>
      </c>
      <c r="H14" s="100" t="s">
        <v>130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/>
      <c r="C15" s="6"/>
      <c r="D15" s="10"/>
      <c r="E15" s="8"/>
      <c r="F15" s="16"/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/>
      <c r="C16" s="6"/>
      <c r="D16" s="10"/>
      <c r="E16" s="8"/>
      <c r="F16" s="16"/>
      <c r="G16" s="99">
        <f t="shared" ref="G16" si="3">SUM(F16:F17)</f>
        <v>0</v>
      </c>
      <c r="H16" s="100" t="s">
        <v>131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8"/>
      <c r="B17" s="9"/>
      <c r="C17" s="6"/>
      <c r="D17" s="10"/>
      <c r="E17" s="8"/>
      <c r="F17" s="16"/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>
        <v>6</v>
      </c>
      <c r="B18" s="9"/>
      <c r="C18" s="6"/>
      <c r="D18" s="10"/>
      <c r="E18" s="8"/>
      <c r="F18" s="16"/>
      <c r="G18" s="99">
        <f t="shared" ref="G18" si="4">SUM(F18:F19)</f>
        <v>0</v>
      </c>
      <c r="H18" s="100" t="s">
        <v>132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/>
      <c r="C19" s="6"/>
      <c r="D19" s="10"/>
      <c r="E19" s="8"/>
      <c r="F19" s="16"/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7</v>
      </c>
      <c r="B20" s="9"/>
      <c r="C20" s="6"/>
      <c r="D20" s="10"/>
      <c r="E20" s="8"/>
      <c r="F20" s="16"/>
      <c r="G20" s="99">
        <f t="shared" ref="G20" si="5">SUM(F20:F21)</f>
        <v>0</v>
      </c>
      <c r="H20" s="100" t="s">
        <v>133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/>
      <c r="C21" s="6"/>
      <c r="D21" s="10"/>
      <c r="E21" s="8"/>
      <c r="F21" s="16"/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8</v>
      </c>
      <c r="B22" s="9"/>
      <c r="C22" s="6"/>
      <c r="D22" s="10"/>
      <c r="E22" s="8"/>
      <c r="F22" s="16"/>
      <c r="G22" s="99">
        <f t="shared" ref="G22" si="6">SUM(F22:F23)</f>
        <v>0</v>
      </c>
      <c r="H22" s="100" t="s">
        <v>134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/>
      <c r="C23" s="6"/>
      <c r="D23" s="10"/>
      <c r="E23" s="8"/>
      <c r="F23" s="16"/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9</v>
      </c>
      <c r="B24" s="9"/>
      <c r="C24" s="6"/>
      <c r="D24" s="10"/>
      <c r="E24" s="8"/>
      <c r="F24" s="16"/>
      <c r="G24" s="99">
        <f t="shared" ref="G24" si="7">SUM(F24:F25)</f>
        <v>0</v>
      </c>
      <c r="H24" s="100" t="s">
        <v>135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/>
      <c r="C25" s="6"/>
      <c r="D25" s="10"/>
      <c r="E25" s="8"/>
      <c r="F25" s="16"/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10</v>
      </c>
      <c r="B26" s="9"/>
      <c r="C26" s="6"/>
      <c r="D26" s="10"/>
      <c r="E26" s="8"/>
      <c r="F26" s="16"/>
      <c r="G26" s="99">
        <f t="shared" ref="G26" si="8">SUM(F26:F27)</f>
        <v>0</v>
      </c>
      <c r="H26" s="100" t="s">
        <v>136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/>
      <c r="C27" s="6"/>
      <c r="D27" s="10"/>
      <c r="E27" s="8"/>
      <c r="F27" s="16"/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11</v>
      </c>
      <c r="B28" s="9"/>
      <c r="C28" s="6"/>
      <c r="D28" s="10"/>
      <c r="E28" s="8"/>
      <c r="F28" s="16"/>
      <c r="G28" s="99">
        <f t="shared" ref="G28" si="9">SUM(F28:F29)</f>
        <v>0</v>
      </c>
      <c r="H28" s="100" t="s">
        <v>137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8"/>
      <c r="B29" s="9"/>
      <c r="C29" s="6"/>
      <c r="D29" s="10"/>
      <c r="E29" s="8"/>
      <c r="F29" s="16"/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12</v>
      </c>
      <c r="B30" s="9"/>
      <c r="C30" s="6"/>
      <c r="D30" s="10"/>
      <c r="E30" s="8"/>
      <c r="F30" s="16"/>
      <c r="G30" s="99">
        <f t="shared" ref="G30" si="10">SUM(F30:F31)</f>
        <v>0</v>
      </c>
      <c r="H30" s="100" t="s">
        <v>138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/>
      <c r="C31" s="6"/>
      <c r="D31" s="10"/>
      <c r="E31" s="8"/>
      <c r="F31" s="16"/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13</v>
      </c>
      <c r="B32" s="9"/>
      <c r="C32" s="6"/>
      <c r="D32" s="10"/>
      <c r="E32" s="8"/>
      <c r="F32" s="16"/>
      <c r="G32" s="99">
        <f t="shared" ref="G32" si="11">SUM(F32:F33)</f>
        <v>0</v>
      </c>
      <c r="H32" s="100" t="s">
        <v>139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/>
      <c r="C33" s="6"/>
      <c r="D33" s="10"/>
      <c r="E33" s="8"/>
      <c r="F33" s="16"/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14</v>
      </c>
      <c r="B34" s="9"/>
      <c r="C34" s="6"/>
      <c r="D34" s="10"/>
      <c r="E34" s="8"/>
      <c r="F34" s="16"/>
      <c r="G34" s="99">
        <f t="shared" ref="G34" si="12">SUM(F34:F35)</f>
        <v>0</v>
      </c>
      <c r="H34" s="100" t="s">
        <v>140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/>
      <c r="C35" s="6"/>
      <c r="D35" s="10"/>
      <c r="E35" s="8"/>
      <c r="F35" s="16"/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15</v>
      </c>
      <c r="B36" s="9"/>
      <c r="C36" s="6"/>
      <c r="D36" s="10"/>
      <c r="E36" s="8"/>
      <c r="F36" s="16"/>
      <c r="G36" s="99">
        <f t="shared" ref="G36" si="13">SUM(F36:F37)</f>
        <v>0</v>
      </c>
      <c r="H36" s="100" t="s">
        <v>141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/>
      <c r="C37" s="6"/>
      <c r="D37" s="10"/>
      <c r="E37" s="8"/>
      <c r="F37" s="16"/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16</v>
      </c>
      <c r="B38" s="9"/>
      <c r="C38" s="6"/>
      <c r="D38" s="10"/>
      <c r="E38" s="8"/>
      <c r="F38" s="16"/>
      <c r="G38" s="99">
        <f t="shared" ref="G38" si="14">SUM(F38:F39)</f>
        <v>0</v>
      </c>
      <c r="H38" s="100" t="s">
        <v>142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/>
      <c r="C39" s="6"/>
      <c r="D39" s="10"/>
      <c r="E39" s="8"/>
      <c r="F39" s="16"/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17</v>
      </c>
      <c r="B40" s="9"/>
      <c r="C40" s="6"/>
      <c r="D40" s="10"/>
      <c r="E40" s="8"/>
      <c r="F40" s="16"/>
      <c r="G40" s="99">
        <f t="shared" ref="G40" si="15">SUM(F40:F41)</f>
        <v>0</v>
      </c>
      <c r="H40" s="100" t="s">
        <v>143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/>
      <c r="C41" s="6"/>
      <c r="D41" s="10"/>
      <c r="E41" s="8"/>
      <c r="F41" s="16"/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18</v>
      </c>
      <c r="B42" s="9"/>
      <c r="C42" s="6"/>
      <c r="D42" s="10"/>
      <c r="E42" s="8"/>
      <c r="F42" s="16"/>
      <c r="G42" s="99">
        <f t="shared" ref="G42" si="16">SUM(F42:F43)</f>
        <v>0</v>
      </c>
      <c r="H42" s="100" t="s">
        <v>144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/>
      <c r="C43" s="6"/>
      <c r="D43" s="10"/>
      <c r="E43" s="8"/>
      <c r="F43" s="16"/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>
        <v>19</v>
      </c>
      <c r="B44" s="9"/>
      <c r="C44" s="6"/>
      <c r="D44" s="10"/>
      <c r="E44" s="8"/>
      <c r="F44" s="16"/>
      <c r="G44" s="99">
        <f t="shared" ref="G44" si="17">SUM(F44:F45)</f>
        <v>0</v>
      </c>
      <c r="H44" s="100" t="s">
        <v>145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8"/>
      <c r="B45" s="9"/>
      <c r="C45" s="6"/>
      <c r="D45" s="10"/>
      <c r="E45" s="8"/>
      <c r="F45" s="16"/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>
        <v>20</v>
      </c>
      <c r="B46" s="9"/>
      <c r="C46" s="6"/>
      <c r="D46" s="10"/>
      <c r="E46" s="8"/>
      <c r="F46" s="16"/>
      <c r="G46" s="99">
        <f t="shared" ref="G46" si="18">SUM(F46:F47)</f>
        <v>0</v>
      </c>
      <c r="H46" s="100" t="s">
        <v>146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8"/>
      <c r="B47" s="9"/>
      <c r="C47" s="6"/>
      <c r="D47" s="10"/>
      <c r="E47" s="8"/>
      <c r="F47" s="16"/>
      <c r="G47" s="99"/>
      <c r="H47" s="10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7">
        <v>21</v>
      </c>
      <c r="B48" s="9"/>
      <c r="C48" s="6"/>
      <c r="D48" s="10"/>
      <c r="E48" s="8"/>
      <c r="F48" s="16"/>
      <c r="G48" s="99">
        <f t="shared" ref="G48" si="19">SUM(F48:F49)</f>
        <v>0</v>
      </c>
      <c r="H48" s="100" t="s">
        <v>147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8"/>
      <c r="B49" s="9"/>
      <c r="C49" s="6"/>
      <c r="D49" s="10"/>
      <c r="E49" s="8"/>
      <c r="F49" s="16"/>
      <c r="G49" s="99"/>
      <c r="H49" s="10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>
        <v>22</v>
      </c>
      <c r="B50" s="9"/>
      <c r="C50" s="6"/>
      <c r="D50" s="10"/>
      <c r="E50" s="8"/>
      <c r="F50" s="16"/>
      <c r="G50" s="99">
        <f t="shared" ref="G50" si="20">SUM(F50:F51)</f>
        <v>0</v>
      </c>
      <c r="H50" s="100" t="s">
        <v>148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8"/>
      <c r="B51" s="9"/>
      <c r="C51" s="6"/>
      <c r="D51" s="10"/>
      <c r="E51" s="8"/>
      <c r="F51" s="16"/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>
        <v>23</v>
      </c>
      <c r="B52" s="9"/>
      <c r="C52" s="6"/>
      <c r="D52" s="10"/>
      <c r="E52" s="8"/>
      <c r="F52" s="16"/>
      <c r="G52" s="99">
        <f t="shared" ref="G52" si="21">SUM(F52:F53)</f>
        <v>0</v>
      </c>
      <c r="H52" s="100" t="s">
        <v>149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/>
      <c r="C53" s="6"/>
      <c r="D53" s="10"/>
      <c r="E53" s="8"/>
      <c r="F53" s="16"/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>
        <v>24</v>
      </c>
      <c r="B54" s="9"/>
      <c r="C54" s="6"/>
      <c r="D54" s="10"/>
      <c r="E54" s="8"/>
      <c r="F54" s="16"/>
      <c r="G54" s="99">
        <f t="shared" ref="G54" si="22">SUM(F54:F55)</f>
        <v>0</v>
      </c>
      <c r="H54" s="100" t="s">
        <v>150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8"/>
      <c r="B55" s="9"/>
      <c r="C55" s="6"/>
      <c r="D55" s="10"/>
      <c r="E55" s="8"/>
      <c r="F55" s="16"/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7">
        <v>25</v>
      </c>
      <c r="B56" s="9"/>
      <c r="C56" s="6"/>
      <c r="D56" s="10"/>
      <c r="E56" s="8"/>
      <c r="F56" s="16"/>
      <c r="G56" s="99">
        <f t="shared" ref="G56" si="23">SUM(F56:F57)</f>
        <v>0</v>
      </c>
      <c r="H56" s="100" t="s">
        <v>151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8"/>
      <c r="B57" s="9"/>
      <c r="C57" s="6"/>
      <c r="D57" s="10"/>
      <c r="E57" s="8"/>
      <c r="F57" s="16"/>
      <c r="G57" s="99"/>
      <c r="H57" s="10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>
        <v>26</v>
      </c>
      <c r="B58" s="9"/>
      <c r="C58" s="6"/>
      <c r="D58" s="10"/>
      <c r="E58" s="8"/>
      <c r="F58" s="16"/>
      <c r="G58" s="99">
        <f t="shared" ref="G58" si="24">SUM(F58:F59)</f>
        <v>0</v>
      </c>
      <c r="H58" s="100" t="s">
        <v>152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/>
      <c r="C59" s="6"/>
      <c r="D59" s="10"/>
      <c r="E59" s="8"/>
      <c r="F59" s="16"/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27</v>
      </c>
      <c r="B60" s="9"/>
      <c r="C60" s="6"/>
      <c r="D60" s="10"/>
      <c r="E60" s="8"/>
      <c r="F60" s="16"/>
      <c r="G60" s="99">
        <f t="shared" ref="G60" si="25">SUM(F60:F61)</f>
        <v>0</v>
      </c>
      <c r="H60" s="100" t="s">
        <v>153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/>
      <c r="C61" s="6"/>
      <c r="D61" s="10"/>
      <c r="E61" s="8"/>
      <c r="F61" s="16"/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28</v>
      </c>
      <c r="B62" s="9"/>
      <c r="C62" s="6"/>
      <c r="D62" s="10"/>
      <c r="E62" s="8"/>
      <c r="F62" s="16"/>
      <c r="G62" s="99">
        <f t="shared" ref="G62" si="26">SUM(F62:F63)</f>
        <v>0</v>
      </c>
      <c r="H62" s="100" t="s">
        <v>154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/>
      <c r="C63" s="6"/>
      <c r="D63" s="10"/>
      <c r="E63" s="8"/>
      <c r="F63" s="16"/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29</v>
      </c>
      <c r="B64" s="9"/>
      <c r="C64" s="6"/>
      <c r="D64" s="10"/>
      <c r="E64" s="8"/>
      <c r="F64" s="16"/>
      <c r="G64" s="99">
        <f t="shared" ref="G64" si="27">SUM(F64:F65)</f>
        <v>0</v>
      </c>
      <c r="H64" s="100" t="s">
        <v>155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/>
      <c r="C65" s="6"/>
      <c r="D65" s="10"/>
      <c r="E65" s="8"/>
      <c r="F65" s="16"/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30</v>
      </c>
      <c r="B66" s="9"/>
      <c r="C66" s="6"/>
      <c r="D66" s="10"/>
      <c r="E66" s="8"/>
      <c r="F66" s="16"/>
      <c r="G66" s="99">
        <f t="shared" ref="G66" si="28">SUM(F66:F67)</f>
        <v>0</v>
      </c>
      <c r="H66" s="100" t="s">
        <v>156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/>
      <c r="C67" s="6"/>
      <c r="D67" s="10"/>
      <c r="E67" s="8"/>
      <c r="F67" s="16"/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31</v>
      </c>
      <c r="B68" s="9"/>
      <c r="C68" s="6"/>
      <c r="D68" s="10"/>
      <c r="E68" s="8"/>
      <c r="F68" s="16"/>
      <c r="G68" s="99">
        <f t="shared" ref="G68" si="29">SUM(F68:F69)</f>
        <v>0</v>
      </c>
      <c r="H68" s="100" t="s">
        <v>157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/>
      <c r="C69" s="6"/>
      <c r="D69" s="10"/>
      <c r="E69" s="8"/>
      <c r="F69" s="16"/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32</v>
      </c>
      <c r="B70" s="9"/>
      <c r="C70" s="6"/>
      <c r="D70" s="10"/>
      <c r="E70" s="8"/>
      <c r="F70" s="16"/>
      <c r="G70" s="99">
        <f t="shared" ref="G70" si="30">SUM(F70:F71)</f>
        <v>0</v>
      </c>
      <c r="H70" s="100" t="s">
        <v>158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/>
      <c r="C71" s="6"/>
      <c r="D71" s="10"/>
      <c r="E71" s="8"/>
      <c r="F71" s="16"/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33</v>
      </c>
      <c r="B72" s="9"/>
      <c r="C72" s="6"/>
      <c r="D72" s="10"/>
      <c r="E72" s="8"/>
      <c r="F72" s="16"/>
      <c r="G72" s="99">
        <f t="shared" ref="G72" si="31">SUM(F72:F73)</f>
        <v>0</v>
      </c>
      <c r="H72" s="100" t="s">
        <v>159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8"/>
      <c r="B73" s="9"/>
      <c r="C73" s="6"/>
      <c r="D73" s="10"/>
      <c r="E73" s="8"/>
      <c r="F73" s="16"/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7">
        <v>34</v>
      </c>
      <c r="B74" s="9"/>
      <c r="C74" s="6"/>
      <c r="D74" s="10"/>
      <c r="E74" s="8"/>
      <c r="F74" s="16"/>
      <c r="G74" s="99">
        <f t="shared" ref="G74" si="32">SUM(F74:F75)</f>
        <v>0</v>
      </c>
      <c r="H74" s="100" t="s">
        <v>160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8"/>
      <c r="B75" s="9"/>
      <c r="C75" s="6"/>
      <c r="D75" s="10"/>
      <c r="E75" s="8"/>
      <c r="F75" s="16"/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7">
        <v>35</v>
      </c>
      <c r="B76" s="9"/>
      <c r="C76" s="6"/>
      <c r="D76" s="10"/>
      <c r="E76" s="8"/>
      <c r="F76" s="16"/>
      <c r="G76" s="99">
        <f t="shared" ref="G76" si="33">SUM(F76:F77)</f>
        <v>0</v>
      </c>
      <c r="H76" s="100" t="s">
        <v>161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8"/>
      <c r="B77" s="9"/>
      <c r="C77" s="6"/>
      <c r="D77" s="10"/>
      <c r="E77" s="8"/>
      <c r="F77" s="16"/>
      <c r="G77" s="99"/>
      <c r="H77" s="10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>
        <v>36</v>
      </c>
      <c r="B78" s="9"/>
      <c r="C78" s="6"/>
      <c r="D78" s="10"/>
      <c r="E78" s="8"/>
      <c r="F78" s="16"/>
      <c r="G78" s="99">
        <f t="shared" ref="G78" si="34">SUM(F78:F79)</f>
        <v>0</v>
      </c>
      <c r="H78" s="100" t="s">
        <v>162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/>
      <c r="C79" s="6"/>
      <c r="D79" s="10"/>
      <c r="E79" s="8"/>
      <c r="F79" s="16"/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37</v>
      </c>
      <c r="B80" s="9"/>
      <c r="C80" s="6"/>
      <c r="D80" s="10"/>
      <c r="E80" s="8"/>
      <c r="F80" s="16"/>
      <c r="G80" s="99">
        <f t="shared" ref="G80:G96" si="35">SUM(F80:F81)</f>
        <v>0</v>
      </c>
      <c r="H80" s="100" t="s">
        <v>163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8"/>
      <c r="B81" s="9"/>
      <c r="C81" s="6"/>
      <c r="D81" s="10"/>
      <c r="E81" s="8"/>
      <c r="F81" s="16"/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7">
        <v>38</v>
      </c>
      <c r="B82" s="9"/>
      <c r="C82" s="6"/>
      <c r="D82" s="10"/>
      <c r="E82" s="8"/>
      <c r="F82" s="16"/>
      <c r="G82" s="99">
        <f t="shared" ref="G82:G94" si="36">SUM(F82:F83)</f>
        <v>0</v>
      </c>
      <c r="H82" s="100" t="s">
        <v>164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8"/>
      <c r="B83" s="9"/>
      <c r="C83" s="6"/>
      <c r="D83" s="10"/>
      <c r="E83" s="8"/>
      <c r="F83" s="16"/>
      <c r="G83" s="99"/>
      <c r="H83" s="10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>
        <v>39</v>
      </c>
      <c r="B84" s="9"/>
      <c r="C84" s="6"/>
      <c r="D84" s="10"/>
      <c r="E84" s="8"/>
      <c r="F84" s="16"/>
      <c r="G84" s="99">
        <f t="shared" si="35"/>
        <v>0</v>
      </c>
      <c r="H84" s="100" t="s">
        <v>165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8"/>
      <c r="B85" s="9"/>
      <c r="C85" s="6"/>
      <c r="D85" s="10"/>
      <c r="E85" s="8"/>
      <c r="F85" s="16"/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>
        <v>40</v>
      </c>
      <c r="B86" s="9"/>
      <c r="C86" s="6"/>
      <c r="D86" s="10"/>
      <c r="E86" s="8"/>
      <c r="F86" s="16"/>
      <c r="G86" s="99">
        <f t="shared" si="36"/>
        <v>0</v>
      </c>
      <c r="H86" s="100" t="s">
        <v>166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/>
      <c r="C87" s="6"/>
      <c r="D87" s="10"/>
      <c r="E87" s="8"/>
      <c r="F87" s="16"/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41</v>
      </c>
      <c r="B88" s="9"/>
      <c r="C88" s="6"/>
      <c r="D88" s="10"/>
      <c r="E88" s="8"/>
      <c r="F88" s="16"/>
      <c r="G88" s="99">
        <f t="shared" si="35"/>
        <v>0</v>
      </c>
      <c r="H88" s="100" t="s">
        <v>167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/>
      <c r="C89" s="6"/>
      <c r="D89" s="10"/>
      <c r="E89" s="8"/>
      <c r="F89" s="16"/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42</v>
      </c>
      <c r="B90" s="9"/>
      <c r="C90" s="6"/>
      <c r="D90" s="10"/>
      <c r="E90" s="8"/>
      <c r="F90" s="16"/>
      <c r="G90" s="99">
        <f t="shared" si="36"/>
        <v>0</v>
      </c>
      <c r="H90" s="100" t="s">
        <v>168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8"/>
      <c r="B91" s="9"/>
      <c r="C91" s="6"/>
      <c r="D91" s="10"/>
      <c r="E91" s="8"/>
      <c r="F91" s="16"/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7">
        <v>43</v>
      </c>
      <c r="B92" s="9"/>
      <c r="C92" s="6"/>
      <c r="D92" s="10"/>
      <c r="E92" s="8"/>
      <c r="F92" s="16"/>
      <c r="G92" s="99">
        <f t="shared" si="35"/>
        <v>0</v>
      </c>
      <c r="H92" s="100" t="s">
        <v>169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8"/>
      <c r="B93" s="9"/>
      <c r="C93" s="6"/>
      <c r="D93" s="10"/>
      <c r="E93" s="8"/>
      <c r="F93" s="16"/>
      <c r="G93" s="99"/>
      <c r="H93" s="10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>
        <v>44</v>
      </c>
      <c r="B94" s="9"/>
      <c r="C94" s="6"/>
      <c r="D94" s="10"/>
      <c r="E94" s="8"/>
      <c r="F94" s="16"/>
      <c r="G94" s="99">
        <f t="shared" si="36"/>
        <v>0</v>
      </c>
      <c r="H94" s="100" t="s">
        <v>170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/>
      <c r="C95" s="6"/>
      <c r="D95" s="10"/>
      <c r="E95" s="8"/>
      <c r="F95" s="16"/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45</v>
      </c>
      <c r="B96" s="9"/>
      <c r="C96" s="6"/>
      <c r="D96" s="10"/>
      <c r="E96" s="8"/>
      <c r="F96" s="16"/>
      <c r="G96" s="99">
        <f t="shared" si="35"/>
        <v>0</v>
      </c>
      <c r="H96" s="100" t="s">
        <v>172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8"/>
      <c r="B97" s="9"/>
      <c r="C97" s="6"/>
      <c r="D97" s="10"/>
      <c r="E97" s="8"/>
      <c r="F97" s="16"/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7">
        <v>46</v>
      </c>
      <c r="B98" s="9"/>
      <c r="C98" s="6"/>
      <c r="D98" s="10"/>
      <c r="E98" s="8"/>
      <c r="F98" s="16"/>
      <c r="G98" s="99">
        <f t="shared" ref="G98" si="37">SUM(F98:F99)</f>
        <v>0</v>
      </c>
      <c r="H98" s="122" t="s">
        <v>170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8"/>
      <c r="B99" s="9"/>
      <c r="C99" s="6"/>
      <c r="D99" s="10"/>
      <c r="E99" s="8"/>
      <c r="F99" s="16"/>
      <c r="G99" s="99"/>
      <c r="H99" s="124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7">
        <v>47</v>
      </c>
      <c r="B100" s="9"/>
      <c r="C100" s="6"/>
      <c r="D100" s="10"/>
      <c r="E100" s="8"/>
      <c r="F100" s="16"/>
      <c r="G100" s="99">
        <f t="shared" ref="G100" si="38">SUM(F100:F101)</f>
        <v>0</v>
      </c>
      <c r="H100" s="122" t="s">
        <v>169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8"/>
      <c r="B101" s="9"/>
      <c r="C101" s="6"/>
      <c r="D101" s="10"/>
      <c r="E101" s="8"/>
      <c r="F101" s="16"/>
      <c r="G101" s="99"/>
      <c r="H101" s="124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>
        <v>48</v>
      </c>
      <c r="B102" s="9"/>
      <c r="C102" s="6"/>
      <c r="D102" s="10"/>
      <c r="E102" s="8"/>
      <c r="F102" s="16"/>
      <c r="G102" s="99">
        <f t="shared" ref="G102" si="39">SUM(F102:F103)</f>
        <v>0</v>
      </c>
      <c r="H102" s="122" t="s">
        <v>670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/>
      <c r="C103" s="6"/>
      <c r="D103" s="10"/>
      <c r="E103" s="8"/>
      <c r="F103" s="16"/>
      <c r="G103" s="99"/>
      <c r="H103" s="124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49</v>
      </c>
      <c r="B104" s="9"/>
      <c r="C104" s="6"/>
      <c r="D104" s="10"/>
      <c r="E104" s="8"/>
      <c r="F104" s="16"/>
      <c r="G104" s="99">
        <f t="shared" ref="G104" si="40">SUM(F104:F105)</f>
        <v>0</v>
      </c>
      <c r="H104" s="122" t="s">
        <v>167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/>
      <c r="C105" s="6"/>
      <c r="D105" s="10"/>
      <c r="E105" s="8"/>
      <c r="F105" s="16"/>
      <c r="G105" s="99"/>
      <c r="H105" s="124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50</v>
      </c>
      <c r="B106" s="9"/>
      <c r="C106" s="6"/>
      <c r="D106" s="10"/>
      <c r="E106" s="8"/>
      <c r="F106" s="16"/>
      <c r="G106" s="99">
        <f t="shared" ref="G106:G122" si="41">SUM(F106:F107)</f>
        <v>0</v>
      </c>
      <c r="H106" s="122" t="s">
        <v>166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/>
      <c r="C107" s="6"/>
      <c r="D107" s="10"/>
      <c r="E107" s="8"/>
      <c r="F107" s="16"/>
      <c r="G107" s="99"/>
      <c r="H107" s="124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51</v>
      </c>
      <c r="B108" s="9"/>
      <c r="C108" s="6"/>
      <c r="D108" s="10"/>
      <c r="E108" s="8"/>
      <c r="F108" s="16"/>
      <c r="G108" s="99">
        <f t="shared" ref="G108:G120" si="42">SUM(F108:F109)</f>
        <v>0</v>
      </c>
      <c r="H108" s="122" t="s">
        <v>165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/>
      <c r="C109" s="6"/>
      <c r="D109" s="10"/>
      <c r="E109" s="8"/>
      <c r="F109" s="16"/>
      <c r="G109" s="99"/>
      <c r="H109" s="124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52</v>
      </c>
      <c r="B110" s="9"/>
      <c r="C110" s="6"/>
      <c r="D110" s="10"/>
      <c r="E110" s="8"/>
      <c r="F110" s="16"/>
      <c r="G110" s="99">
        <f t="shared" si="41"/>
        <v>0</v>
      </c>
      <c r="H110" s="122" t="s">
        <v>671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8"/>
      <c r="B111" s="9"/>
      <c r="C111" s="6"/>
      <c r="D111" s="10"/>
      <c r="E111" s="8"/>
      <c r="F111" s="16"/>
      <c r="G111" s="99"/>
      <c r="H111" s="124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>
        <v>53</v>
      </c>
      <c r="B112" s="9"/>
      <c r="C112" s="6"/>
      <c r="D112" s="10"/>
      <c r="E112" s="8"/>
      <c r="F112" s="16"/>
      <c r="G112" s="99">
        <f t="shared" si="42"/>
        <v>0</v>
      </c>
      <c r="H112" s="122" t="s">
        <v>163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8"/>
      <c r="B113" s="9"/>
      <c r="C113" s="6"/>
      <c r="D113" s="10"/>
      <c r="E113" s="8"/>
      <c r="F113" s="16"/>
      <c r="G113" s="99"/>
      <c r="H113" s="124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>
        <v>54</v>
      </c>
      <c r="B114" s="9"/>
      <c r="C114" s="6"/>
      <c r="D114" s="10"/>
      <c r="E114" s="8"/>
      <c r="F114" s="16"/>
      <c r="G114" s="99">
        <f t="shared" si="41"/>
        <v>0</v>
      </c>
      <c r="H114" s="122" t="s">
        <v>672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/>
      <c r="C115" s="6"/>
      <c r="D115" s="10"/>
      <c r="E115" s="8"/>
      <c r="F115" s="16"/>
      <c r="G115" s="99"/>
      <c r="H115" s="12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55</v>
      </c>
      <c r="B116" s="9"/>
      <c r="C116" s="6"/>
      <c r="D116" s="10"/>
      <c r="E116" s="8"/>
      <c r="F116" s="16"/>
      <c r="G116" s="99">
        <f t="shared" si="42"/>
        <v>0</v>
      </c>
      <c r="H116" s="122" t="s">
        <v>673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8"/>
      <c r="B117" s="9"/>
      <c r="C117" s="6"/>
      <c r="D117" s="10"/>
      <c r="E117" s="8"/>
      <c r="F117" s="16"/>
      <c r="G117" s="99"/>
      <c r="H117" s="124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>
        <v>56</v>
      </c>
      <c r="B118" s="9"/>
      <c r="C118" s="6"/>
      <c r="D118" s="10"/>
      <c r="E118" s="8"/>
      <c r="F118" s="16"/>
      <c r="G118" s="99">
        <f t="shared" si="41"/>
        <v>0</v>
      </c>
      <c r="H118" s="122" t="s">
        <v>674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/>
      <c r="C119" s="6"/>
      <c r="D119" s="10"/>
      <c r="E119" s="8"/>
      <c r="F119" s="16"/>
      <c r="G119" s="99"/>
      <c r="H119" s="124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>
        <v>57</v>
      </c>
      <c r="B120" s="9"/>
      <c r="C120" s="6"/>
      <c r="D120" s="10"/>
      <c r="E120" s="8"/>
      <c r="F120" s="16"/>
      <c r="G120" s="99">
        <f t="shared" si="42"/>
        <v>0</v>
      </c>
      <c r="H120" s="122" t="s">
        <v>675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8"/>
      <c r="B121" s="9"/>
      <c r="C121" s="6"/>
      <c r="D121" s="10"/>
      <c r="E121" s="8"/>
      <c r="F121" s="16"/>
      <c r="G121" s="99"/>
      <c r="H121" s="124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>
        <v>58</v>
      </c>
      <c r="B122" s="9"/>
      <c r="C122" s="6"/>
      <c r="D122" s="10"/>
      <c r="E122" s="8"/>
      <c r="F122" s="16"/>
      <c r="G122" s="99">
        <f t="shared" si="41"/>
        <v>0</v>
      </c>
      <c r="H122" s="122" t="s">
        <v>676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8"/>
      <c r="B123" s="9"/>
      <c r="C123" s="6"/>
      <c r="D123" s="10"/>
      <c r="E123" s="8"/>
      <c r="F123" s="16"/>
      <c r="G123" s="99"/>
      <c r="H123" s="124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>
        <v>59</v>
      </c>
      <c r="B124" s="9"/>
      <c r="C124" s="6"/>
      <c r="D124" s="10"/>
      <c r="E124" s="8"/>
      <c r="F124" s="16"/>
      <c r="G124" s="99">
        <f t="shared" ref="G124:G132" si="43">SUM(F124:F125)</f>
        <v>0</v>
      </c>
      <c r="H124" s="122" t="s">
        <v>677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2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60</v>
      </c>
      <c r="B126" s="9"/>
      <c r="C126" s="6"/>
      <c r="D126" s="10"/>
      <c r="E126" s="8"/>
      <c r="F126" s="16"/>
      <c r="G126" s="99">
        <f t="shared" ref="G126:G130" si="44">SUM(F126:F127)</f>
        <v>0</v>
      </c>
      <c r="H126" s="122" t="s">
        <v>678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/>
      <c r="C127" s="6"/>
      <c r="D127" s="10"/>
      <c r="E127" s="8"/>
      <c r="F127" s="16"/>
      <c r="G127" s="99"/>
      <c r="H127" s="124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97">
        <v>61</v>
      </c>
      <c r="B128" s="9"/>
      <c r="C128" s="6"/>
      <c r="D128" s="10"/>
      <c r="E128" s="8"/>
      <c r="F128" s="16"/>
      <c r="G128" s="99">
        <f t="shared" si="43"/>
        <v>0</v>
      </c>
      <c r="H128" s="122" t="s">
        <v>679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6" x14ac:dyDescent="0.25">
      <c r="A129" s="98"/>
      <c r="B129" s="9"/>
      <c r="C129" s="6"/>
      <c r="D129" s="10"/>
      <c r="E129" s="8"/>
      <c r="F129" s="16"/>
      <c r="G129" s="99"/>
      <c r="H129" s="124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6" x14ac:dyDescent="0.25">
      <c r="A130" s="97">
        <v>62</v>
      </c>
      <c r="B130" s="9"/>
      <c r="C130" s="6"/>
      <c r="D130" s="10"/>
      <c r="E130" s="8"/>
      <c r="F130" s="16"/>
      <c r="G130" s="99">
        <f t="shared" si="44"/>
        <v>0</v>
      </c>
      <c r="H130" s="122" t="s">
        <v>680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6" x14ac:dyDescent="0.25">
      <c r="A131" s="98"/>
      <c r="B131" s="9"/>
      <c r="C131" s="6"/>
      <c r="D131" s="10"/>
      <c r="E131" s="8"/>
      <c r="F131" s="16"/>
      <c r="G131" s="99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6" x14ac:dyDescent="0.25">
      <c r="A132" s="97">
        <v>63</v>
      </c>
      <c r="B132" s="9"/>
      <c r="C132" s="6"/>
      <c r="D132" s="10"/>
      <c r="E132" s="8"/>
      <c r="F132" s="16"/>
      <c r="G132" s="99">
        <f t="shared" si="43"/>
        <v>0</v>
      </c>
      <c r="H132" s="122" t="s">
        <v>681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6" x14ac:dyDescent="0.25">
      <c r="A133" s="98"/>
      <c r="B133" s="9"/>
      <c r="C133" s="6"/>
      <c r="D133" s="10"/>
      <c r="E133" s="8"/>
      <c r="F133" s="16"/>
      <c r="G133" s="99"/>
      <c r="H133" s="124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 x14ac:dyDescent="0.3">
      <c r="A134" s="101" t="s">
        <v>15</v>
      </c>
      <c r="B134" s="101"/>
      <c r="C134" s="101"/>
      <c r="D134" s="101"/>
      <c r="E134" s="101"/>
      <c r="F134" s="24"/>
      <c r="G134" s="17"/>
      <c r="H134" s="1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02"/>
      <c r="B135" s="103"/>
      <c r="C135" s="103"/>
      <c r="D135" s="103"/>
      <c r="E135" s="103"/>
      <c r="F135" s="104"/>
      <c r="G135" s="104"/>
      <c r="H135" s="10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06" t="s">
        <v>16</v>
      </c>
      <c r="B136" s="107"/>
      <c r="C136" s="107"/>
      <c r="D136" s="107"/>
      <c r="E136" s="107"/>
      <c r="F136" s="107"/>
      <c r="G136" s="107"/>
      <c r="H136" s="108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06" t="s">
        <v>70</v>
      </c>
      <c r="B137" s="107"/>
      <c r="C137" s="107"/>
      <c r="D137" s="107"/>
      <c r="E137" s="107"/>
      <c r="F137" s="107"/>
      <c r="G137" s="107"/>
      <c r="H137" s="108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09"/>
      <c r="B138" s="110"/>
      <c r="C138" s="110"/>
      <c r="D138" s="110"/>
      <c r="E138" s="110"/>
      <c r="F138" s="110"/>
      <c r="G138" s="110"/>
      <c r="H138" s="1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22"/>
      <c r="B139" s="25"/>
      <c r="C139" s="25"/>
      <c r="D139" s="25"/>
      <c r="E139" s="25"/>
      <c r="F139" s="25"/>
      <c r="G139" s="25"/>
      <c r="H139" s="2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83" t="s">
        <v>17</v>
      </c>
      <c r="B140" s="84"/>
      <c r="C140" s="84"/>
      <c r="D140" s="84"/>
      <c r="E140" s="84"/>
      <c r="F140" s="84"/>
      <c r="G140" s="84"/>
      <c r="H140" s="8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86"/>
      <c r="B141" s="87"/>
      <c r="C141" s="87"/>
      <c r="D141" s="87"/>
      <c r="E141" s="87"/>
      <c r="F141" s="87"/>
      <c r="G141" s="87"/>
      <c r="H141" s="88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</sheetData>
  <autoFilter ref="A7:Y134" xr:uid="{00000000-0009-0000-0000-00000A000000}"/>
  <mergeCells count="200">
    <mergeCell ref="A134:E134"/>
    <mergeCell ref="A135:H135"/>
    <mergeCell ref="A136:H136"/>
    <mergeCell ref="A137:H137"/>
    <mergeCell ref="A138:H138"/>
    <mergeCell ref="A140:H141"/>
    <mergeCell ref="A130:A131"/>
    <mergeCell ref="G130:G131"/>
    <mergeCell ref="H130:H131"/>
    <mergeCell ref="A132:A133"/>
    <mergeCell ref="G132:G133"/>
    <mergeCell ref="H132:H133"/>
    <mergeCell ref="A126:A127"/>
    <mergeCell ref="G126:G127"/>
    <mergeCell ref="H126:H127"/>
    <mergeCell ref="A128:A129"/>
    <mergeCell ref="G128:G129"/>
    <mergeCell ref="H128:H129"/>
    <mergeCell ref="A122:A123"/>
    <mergeCell ref="G122:G123"/>
    <mergeCell ref="H122:H123"/>
    <mergeCell ref="A124:A125"/>
    <mergeCell ref="G124:G125"/>
    <mergeCell ref="H124:H125"/>
    <mergeCell ref="A118:A119"/>
    <mergeCell ref="G118:G119"/>
    <mergeCell ref="H118:H119"/>
    <mergeCell ref="A120:A121"/>
    <mergeCell ref="G120:G121"/>
    <mergeCell ref="H120:H121"/>
    <mergeCell ref="A114:A115"/>
    <mergeCell ref="G114:G115"/>
    <mergeCell ref="H114:H115"/>
    <mergeCell ref="A116:A117"/>
    <mergeCell ref="G116:G117"/>
    <mergeCell ref="H116:H117"/>
    <mergeCell ref="A110:A111"/>
    <mergeCell ref="G110:G111"/>
    <mergeCell ref="H110:H111"/>
    <mergeCell ref="A112:A113"/>
    <mergeCell ref="G112:G113"/>
    <mergeCell ref="H112:H113"/>
    <mergeCell ref="A106:A107"/>
    <mergeCell ref="G106:G107"/>
    <mergeCell ref="H106:H107"/>
    <mergeCell ref="A108:A109"/>
    <mergeCell ref="G108:G109"/>
    <mergeCell ref="H108:H109"/>
    <mergeCell ref="A102:A103"/>
    <mergeCell ref="G102:G103"/>
    <mergeCell ref="H102:H103"/>
    <mergeCell ref="A104:A105"/>
    <mergeCell ref="G104:G105"/>
    <mergeCell ref="H104:H105"/>
    <mergeCell ref="A98:A99"/>
    <mergeCell ref="G98:G99"/>
    <mergeCell ref="H98:H99"/>
    <mergeCell ref="A100:A101"/>
    <mergeCell ref="G100:G101"/>
    <mergeCell ref="H100:H101"/>
    <mergeCell ref="A94:A95"/>
    <mergeCell ref="G94:G95"/>
    <mergeCell ref="H94:H95"/>
    <mergeCell ref="A96:A97"/>
    <mergeCell ref="G96:G97"/>
    <mergeCell ref="H96:H97"/>
    <mergeCell ref="A90:A91"/>
    <mergeCell ref="G90:G91"/>
    <mergeCell ref="H90:H91"/>
    <mergeCell ref="A92:A93"/>
    <mergeCell ref="G92:G93"/>
    <mergeCell ref="H92:H93"/>
    <mergeCell ref="A86:A87"/>
    <mergeCell ref="G86:G87"/>
    <mergeCell ref="H86:H87"/>
    <mergeCell ref="A88:A89"/>
    <mergeCell ref="G88:G89"/>
    <mergeCell ref="H88:H89"/>
    <mergeCell ref="A82:A83"/>
    <mergeCell ref="G82:G83"/>
    <mergeCell ref="H82:H83"/>
    <mergeCell ref="A84:A85"/>
    <mergeCell ref="G84:G85"/>
    <mergeCell ref="H84:H85"/>
    <mergeCell ref="A78:A79"/>
    <mergeCell ref="G78:G79"/>
    <mergeCell ref="H78:H79"/>
    <mergeCell ref="A80:A81"/>
    <mergeCell ref="G80:G81"/>
    <mergeCell ref="H80:H81"/>
    <mergeCell ref="A74:A75"/>
    <mergeCell ref="G74:G75"/>
    <mergeCell ref="H74:H75"/>
    <mergeCell ref="A76:A77"/>
    <mergeCell ref="G76:G77"/>
    <mergeCell ref="H76:H77"/>
    <mergeCell ref="A70:A71"/>
    <mergeCell ref="G70:G71"/>
    <mergeCell ref="H70:H71"/>
    <mergeCell ref="A72:A73"/>
    <mergeCell ref="G72:G73"/>
    <mergeCell ref="H72:H73"/>
    <mergeCell ref="A66:A67"/>
    <mergeCell ref="G66:G67"/>
    <mergeCell ref="H66:H67"/>
    <mergeCell ref="A68:A69"/>
    <mergeCell ref="G68:G69"/>
    <mergeCell ref="H68:H69"/>
    <mergeCell ref="A62:A63"/>
    <mergeCell ref="G62:G63"/>
    <mergeCell ref="H62:H63"/>
    <mergeCell ref="A64:A65"/>
    <mergeCell ref="G64:G65"/>
    <mergeCell ref="H64:H65"/>
    <mergeCell ref="A58:A59"/>
    <mergeCell ref="G58:G59"/>
    <mergeCell ref="H58:H59"/>
    <mergeCell ref="A60:A61"/>
    <mergeCell ref="G60:G61"/>
    <mergeCell ref="H60:H61"/>
    <mergeCell ref="A54:A55"/>
    <mergeCell ref="G54:G55"/>
    <mergeCell ref="H54:H55"/>
    <mergeCell ref="A56:A57"/>
    <mergeCell ref="G56:G57"/>
    <mergeCell ref="H56:H57"/>
    <mergeCell ref="A50:A51"/>
    <mergeCell ref="G50:G51"/>
    <mergeCell ref="H50:H51"/>
    <mergeCell ref="A52:A53"/>
    <mergeCell ref="G52:G53"/>
    <mergeCell ref="H52:H53"/>
    <mergeCell ref="A46:A47"/>
    <mergeCell ref="G46:G47"/>
    <mergeCell ref="H46:H47"/>
    <mergeCell ref="A48:A49"/>
    <mergeCell ref="G48:G49"/>
    <mergeCell ref="H48:H49"/>
    <mergeCell ref="A42:A43"/>
    <mergeCell ref="G42:G43"/>
    <mergeCell ref="H42:H43"/>
    <mergeCell ref="A44:A45"/>
    <mergeCell ref="G44:G45"/>
    <mergeCell ref="H44:H45"/>
    <mergeCell ref="A38:A39"/>
    <mergeCell ref="G38:G39"/>
    <mergeCell ref="H38:H39"/>
    <mergeCell ref="A40:A41"/>
    <mergeCell ref="G40:G41"/>
    <mergeCell ref="H40:H41"/>
    <mergeCell ref="A34:A35"/>
    <mergeCell ref="G34:G35"/>
    <mergeCell ref="H34:H35"/>
    <mergeCell ref="A36:A37"/>
    <mergeCell ref="G36:G37"/>
    <mergeCell ref="H36:H37"/>
    <mergeCell ref="A30:A31"/>
    <mergeCell ref="G30:G31"/>
    <mergeCell ref="H30:H31"/>
    <mergeCell ref="A32:A33"/>
    <mergeCell ref="G32:G33"/>
    <mergeCell ref="H32:H33"/>
    <mergeCell ref="A26:A27"/>
    <mergeCell ref="G26:G27"/>
    <mergeCell ref="H26:H27"/>
    <mergeCell ref="A28:A29"/>
    <mergeCell ref="G28:G29"/>
    <mergeCell ref="H28:H29"/>
    <mergeCell ref="A22:A23"/>
    <mergeCell ref="G22:G23"/>
    <mergeCell ref="H22:H23"/>
    <mergeCell ref="A24:A25"/>
    <mergeCell ref="G24:G25"/>
    <mergeCell ref="H24:H25"/>
    <mergeCell ref="A18:A19"/>
    <mergeCell ref="G18:G19"/>
    <mergeCell ref="H18:H19"/>
    <mergeCell ref="A20:A21"/>
    <mergeCell ref="G20:G21"/>
    <mergeCell ref="H20:H21"/>
    <mergeCell ref="A16:A17"/>
    <mergeCell ref="G16:G17"/>
    <mergeCell ref="H16:H17"/>
    <mergeCell ref="A10:A11"/>
    <mergeCell ref="G10:G11"/>
    <mergeCell ref="H10:H11"/>
    <mergeCell ref="A12:A13"/>
    <mergeCell ref="G12:G13"/>
    <mergeCell ref="H12:H13"/>
    <mergeCell ref="A1:H1"/>
    <mergeCell ref="A2:H2"/>
    <mergeCell ref="A3:H3"/>
    <mergeCell ref="A4:H4"/>
    <mergeCell ref="A5:H5"/>
    <mergeCell ref="A8:A9"/>
    <mergeCell ref="G8:G9"/>
    <mergeCell ref="H8:H9"/>
    <mergeCell ref="A14:A15"/>
    <mergeCell ref="G14:G15"/>
    <mergeCell ref="H14:H15"/>
  </mergeCells>
  <pageMargins left="0.7" right="0.7" top="0.75" bottom="0.75" header="0" footer="0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  <outlinePr summaryBelow="0" summaryRight="0"/>
  </sheetPr>
  <dimension ref="A1:Y688"/>
  <sheetViews>
    <sheetView zoomScale="85" zoomScaleNormal="85" workbookViewId="0">
      <pane ySplit="7" topLeftCell="A104" activePane="bottomLeft" state="frozen"/>
      <selection activeCell="D129" sqref="D129"/>
      <selection pane="bottomLeft" activeCell="D129" sqref="D129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208</v>
      </c>
      <c r="K2" s="12">
        <v>3373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669</v>
      </c>
      <c r="B4" s="115"/>
      <c r="C4" s="116"/>
      <c r="D4" s="116"/>
      <c r="E4" s="116"/>
      <c r="F4" s="116"/>
      <c r="G4" s="116"/>
      <c r="H4" s="116"/>
      <c r="I4" s="12"/>
      <c r="J4" s="12">
        <f>J2/J3</f>
        <v>7.7037037037037033</v>
      </c>
      <c r="K4" s="12">
        <f>K2/K3</f>
        <v>62.462962962962962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/>
      <c r="C8" s="6"/>
      <c r="D8" s="10"/>
      <c r="E8" s="8"/>
      <c r="F8" s="16"/>
      <c r="G8" s="99">
        <f>SUM(F8:F9)</f>
        <v>0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/>
      <c r="C9" s="6"/>
      <c r="D9" s="10"/>
      <c r="E9" s="8"/>
      <c r="F9" s="16"/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/>
      <c r="C10" s="6"/>
      <c r="D10" s="10"/>
      <c r="E10" s="8"/>
      <c r="F10" s="16"/>
      <c r="G10" s="99">
        <f t="shared" ref="G10" si="0">SUM(F10:F11)</f>
        <v>0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/>
      <c r="C11" s="6"/>
      <c r="D11" s="10"/>
      <c r="E11" s="8"/>
      <c r="F11" s="16"/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/>
      <c r="C12" s="6"/>
      <c r="D12" s="10"/>
      <c r="E12" s="8"/>
      <c r="F12" s="16"/>
      <c r="G12" s="99">
        <f t="shared" ref="G12" si="1">SUM(F12:F13)</f>
        <v>0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/>
      <c r="C13" s="6"/>
      <c r="D13" s="10"/>
      <c r="E13" s="8"/>
      <c r="F13" s="16"/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/>
      <c r="C14" s="6"/>
      <c r="D14" s="10"/>
      <c r="E14" s="8"/>
      <c r="F14" s="16"/>
      <c r="G14" s="99">
        <f t="shared" ref="G14" si="2">SUM(F14:F15)</f>
        <v>0</v>
      </c>
      <c r="H14" s="100" t="s">
        <v>130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/>
      <c r="C15" s="6"/>
      <c r="D15" s="10"/>
      <c r="E15" s="8"/>
      <c r="F15" s="16"/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/>
      <c r="C16" s="6"/>
      <c r="D16" s="10"/>
      <c r="E16" s="8"/>
      <c r="F16" s="16"/>
      <c r="G16" s="99">
        <f t="shared" ref="G16" si="3">SUM(F16:F17)</f>
        <v>0</v>
      </c>
      <c r="H16" s="100" t="s">
        <v>131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8"/>
      <c r="B17" s="9"/>
      <c r="C17" s="6"/>
      <c r="D17" s="10"/>
      <c r="E17" s="8"/>
      <c r="F17" s="16"/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>
        <v>6</v>
      </c>
      <c r="B18" s="9"/>
      <c r="C18" s="6"/>
      <c r="D18" s="10"/>
      <c r="E18" s="8"/>
      <c r="F18" s="16"/>
      <c r="G18" s="99">
        <f t="shared" ref="G18" si="4">SUM(F18:F19)</f>
        <v>0</v>
      </c>
      <c r="H18" s="100" t="s">
        <v>132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/>
      <c r="C19" s="6"/>
      <c r="D19" s="10"/>
      <c r="E19" s="8"/>
      <c r="F19" s="16"/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7</v>
      </c>
      <c r="B20" s="9"/>
      <c r="C20" s="6"/>
      <c r="D20" s="10"/>
      <c r="E20" s="8"/>
      <c r="F20" s="16"/>
      <c r="G20" s="99">
        <f t="shared" ref="G20" si="5">SUM(F20:F21)</f>
        <v>0</v>
      </c>
      <c r="H20" s="100" t="s">
        <v>133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/>
      <c r="C21" s="6"/>
      <c r="D21" s="10"/>
      <c r="E21" s="8"/>
      <c r="F21" s="16"/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8</v>
      </c>
      <c r="B22" s="9"/>
      <c r="C22" s="6"/>
      <c r="D22" s="10"/>
      <c r="E22" s="8"/>
      <c r="F22" s="16"/>
      <c r="G22" s="99">
        <f t="shared" ref="G22" si="6">SUM(F22:F23)</f>
        <v>0</v>
      </c>
      <c r="H22" s="100" t="s">
        <v>134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/>
      <c r="C23" s="6"/>
      <c r="D23" s="10"/>
      <c r="E23" s="8"/>
      <c r="F23" s="16"/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9</v>
      </c>
      <c r="B24" s="9"/>
      <c r="C24" s="6"/>
      <c r="D24" s="10"/>
      <c r="E24" s="8"/>
      <c r="F24" s="16"/>
      <c r="G24" s="99">
        <f t="shared" ref="G24" si="7">SUM(F24:F25)</f>
        <v>0</v>
      </c>
      <c r="H24" s="100" t="s">
        <v>135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/>
      <c r="C25" s="6"/>
      <c r="D25" s="10"/>
      <c r="E25" s="8"/>
      <c r="F25" s="16"/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10</v>
      </c>
      <c r="B26" s="9"/>
      <c r="C26" s="6"/>
      <c r="D26" s="10"/>
      <c r="E26" s="8"/>
      <c r="F26" s="16"/>
      <c r="G26" s="99">
        <f t="shared" ref="G26" si="8">SUM(F26:F27)</f>
        <v>0</v>
      </c>
      <c r="H26" s="100" t="s">
        <v>136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/>
      <c r="C27" s="6"/>
      <c r="D27" s="10"/>
      <c r="E27" s="8"/>
      <c r="F27" s="16"/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11</v>
      </c>
      <c r="B28" s="9"/>
      <c r="C28" s="6"/>
      <c r="D28" s="10"/>
      <c r="E28" s="8"/>
      <c r="F28" s="16"/>
      <c r="G28" s="99">
        <f t="shared" ref="G28" si="9">SUM(F28:F29)</f>
        <v>0</v>
      </c>
      <c r="H28" s="100" t="s">
        <v>137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8"/>
      <c r="B29" s="9"/>
      <c r="C29" s="6"/>
      <c r="D29" s="10"/>
      <c r="E29" s="8"/>
      <c r="F29" s="16"/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12</v>
      </c>
      <c r="B30" s="9"/>
      <c r="C30" s="6"/>
      <c r="D30" s="10"/>
      <c r="E30" s="8"/>
      <c r="F30" s="16"/>
      <c r="G30" s="99">
        <f t="shared" ref="G30" si="10">SUM(F30:F31)</f>
        <v>0</v>
      </c>
      <c r="H30" s="100" t="s">
        <v>138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/>
      <c r="C31" s="6"/>
      <c r="D31" s="10"/>
      <c r="E31" s="8"/>
      <c r="F31" s="16"/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13</v>
      </c>
      <c r="B32" s="9"/>
      <c r="C32" s="6"/>
      <c r="D32" s="10"/>
      <c r="E32" s="8"/>
      <c r="F32" s="16"/>
      <c r="G32" s="99">
        <f t="shared" ref="G32" si="11">SUM(F32:F33)</f>
        <v>0</v>
      </c>
      <c r="H32" s="100" t="s">
        <v>139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/>
      <c r="C33" s="6"/>
      <c r="D33" s="10"/>
      <c r="E33" s="8"/>
      <c r="F33" s="16"/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14</v>
      </c>
      <c r="B34" s="9"/>
      <c r="C34" s="6"/>
      <c r="D34" s="10"/>
      <c r="E34" s="8"/>
      <c r="F34" s="16"/>
      <c r="G34" s="99">
        <f t="shared" ref="G34" si="12">SUM(F34:F35)</f>
        <v>0</v>
      </c>
      <c r="H34" s="100" t="s">
        <v>140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/>
      <c r="C35" s="6"/>
      <c r="D35" s="10"/>
      <c r="E35" s="8"/>
      <c r="F35" s="16"/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15</v>
      </c>
      <c r="B36" s="9"/>
      <c r="C36" s="6"/>
      <c r="D36" s="10"/>
      <c r="E36" s="8"/>
      <c r="F36" s="16"/>
      <c r="G36" s="99">
        <f t="shared" ref="G36" si="13">SUM(F36:F37)</f>
        <v>0</v>
      </c>
      <c r="H36" s="100" t="s">
        <v>141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/>
      <c r="C37" s="6"/>
      <c r="D37" s="10"/>
      <c r="E37" s="8"/>
      <c r="F37" s="16"/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16</v>
      </c>
      <c r="B38" s="9"/>
      <c r="C38" s="6"/>
      <c r="D38" s="10"/>
      <c r="E38" s="8"/>
      <c r="F38" s="16"/>
      <c r="G38" s="99">
        <f t="shared" ref="G38" si="14">SUM(F38:F39)</f>
        <v>0</v>
      </c>
      <c r="H38" s="100" t="s">
        <v>142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/>
      <c r="C39" s="6"/>
      <c r="D39" s="10"/>
      <c r="E39" s="8"/>
      <c r="F39" s="16"/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17</v>
      </c>
      <c r="B40" s="9"/>
      <c r="C40" s="6"/>
      <c r="D40" s="10"/>
      <c r="E40" s="8"/>
      <c r="F40" s="16"/>
      <c r="G40" s="99">
        <f t="shared" ref="G40" si="15">SUM(F40:F41)</f>
        <v>0</v>
      </c>
      <c r="H40" s="100" t="s">
        <v>143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/>
      <c r="C41" s="6"/>
      <c r="D41" s="10"/>
      <c r="E41" s="8"/>
      <c r="F41" s="16"/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18</v>
      </c>
      <c r="B42" s="9"/>
      <c r="C42" s="6"/>
      <c r="D42" s="10"/>
      <c r="E42" s="8"/>
      <c r="F42" s="16"/>
      <c r="G42" s="99">
        <f t="shared" ref="G42" si="16">SUM(F42:F43)</f>
        <v>0</v>
      </c>
      <c r="H42" s="100" t="s">
        <v>144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/>
      <c r="C43" s="6"/>
      <c r="D43" s="10"/>
      <c r="E43" s="8"/>
      <c r="F43" s="16"/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>
        <v>19</v>
      </c>
      <c r="B44" s="9"/>
      <c r="C44" s="6"/>
      <c r="D44" s="10"/>
      <c r="E44" s="8"/>
      <c r="F44" s="16"/>
      <c r="G44" s="99">
        <f t="shared" ref="G44" si="17">SUM(F44:F45)</f>
        <v>0</v>
      </c>
      <c r="H44" s="100" t="s">
        <v>145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8"/>
      <c r="B45" s="9"/>
      <c r="C45" s="6"/>
      <c r="D45" s="10"/>
      <c r="E45" s="8"/>
      <c r="F45" s="16"/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>
        <v>20</v>
      </c>
      <c r="B46" s="9"/>
      <c r="C46" s="6"/>
      <c r="D46" s="10"/>
      <c r="E46" s="8"/>
      <c r="F46" s="16"/>
      <c r="G46" s="99">
        <f t="shared" ref="G46" si="18">SUM(F46:F47)</f>
        <v>0</v>
      </c>
      <c r="H46" s="100" t="s">
        <v>146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8"/>
      <c r="B47" s="9"/>
      <c r="C47" s="6"/>
      <c r="D47" s="10"/>
      <c r="E47" s="8"/>
      <c r="F47" s="16"/>
      <c r="G47" s="99"/>
      <c r="H47" s="10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7">
        <v>21</v>
      </c>
      <c r="B48" s="9"/>
      <c r="C48" s="6"/>
      <c r="D48" s="10"/>
      <c r="E48" s="8"/>
      <c r="F48" s="16"/>
      <c r="G48" s="99">
        <f t="shared" ref="G48" si="19">SUM(F48:F49)</f>
        <v>0</v>
      </c>
      <c r="H48" s="100" t="s">
        <v>147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8"/>
      <c r="B49" s="9"/>
      <c r="C49" s="6"/>
      <c r="D49" s="10"/>
      <c r="E49" s="8"/>
      <c r="F49" s="16"/>
      <c r="G49" s="99"/>
      <c r="H49" s="10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>
        <v>22</v>
      </c>
      <c r="B50" s="9"/>
      <c r="C50" s="6"/>
      <c r="D50" s="10"/>
      <c r="E50" s="8"/>
      <c r="F50" s="16"/>
      <c r="G50" s="99">
        <f t="shared" ref="G50" si="20">SUM(F50:F51)</f>
        <v>0</v>
      </c>
      <c r="H50" s="100" t="s">
        <v>148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8"/>
      <c r="B51" s="9"/>
      <c r="C51" s="6"/>
      <c r="D51" s="10"/>
      <c r="E51" s="8"/>
      <c r="F51" s="16"/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>
        <v>23</v>
      </c>
      <c r="B52" s="9"/>
      <c r="C52" s="6"/>
      <c r="D52" s="10"/>
      <c r="E52" s="8"/>
      <c r="F52" s="16"/>
      <c r="G52" s="99">
        <f t="shared" ref="G52" si="21">SUM(F52:F53)</f>
        <v>0</v>
      </c>
      <c r="H52" s="100" t="s">
        <v>149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/>
      <c r="C53" s="6"/>
      <c r="D53" s="10"/>
      <c r="E53" s="8"/>
      <c r="F53" s="16"/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>
        <v>24</v>
      </c>
      <c r="B54" s="9"/>
      <c r="C54" s="6"/>
      <c r="D54" s="10"/>
      <c r="E54" s="8"/>
      <c r="F54" s="16"/>
      <c r="G54" s="99">
        <f t="shared" ref="G54" si="22">SUM(F54:F55)</f>
        <v>0</v>
      </c>
      <c r="H54" s="100" t="s">
        <v>150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8"/>
      <c r="B55" s="9"/>
      <c r="C55" s="6"/>
      <c r="D55" s="10"/>
      <c r="E55" s="8"/>
      <c r="F55" s="16"/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7">
        <v>25</v>
      </c>
      <c r="B56" s="9"/>
      <c r="C56" s="6"/>
      <c r="D56" s="10"/>
      <c r="E56" s="8"/>
      <c r="F56" s="16"/>
      <c r="G56" s="99">
        <f t="shared" ref="G56" si="23">SUM(F56:F57)</f>
        <v>0</v>
      </c>
      <c r="H56" s="100" t="s">
        <v>151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8"/>
      <c r="B57" s="9"/>
      <c r="C57" s="6"/>
      <c r="D57" s="10"/>
      <c r="E57" s="8"/>
      <c r="F57" s="16"/>
      <c r="G57" s="99"/>
      <c r="H57" s="10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>
        <v>26</v>
      </c>
      <c r="B58" s="9"/>
      <c r="C58" s="6"/>
      <c r="D58" s="10"/>
      <c r="E58" s="8"/>
      <c r="F58" s="16"/>
      <c r="G58" s="99">
        <f t="shared" ref="G58" si="24">SUM(F58:F59)</f>
        <v>0</v>
      </c>
      <c r="H58" s="100" t="s">
        <v>152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/>
      <c r="C59" s="6"/>
      <c r="D59" s="10"/>
      <c r="E59" s="8"/>
      <c r="F59" s="16"/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27</v>
      </c>
      <c r="B60" s="9"/>
      <c r="C60" s="6"/>
      <c r="D60" s="10"/>
      <c r="E60" s="8"/>
      <c r="F60" s="16"/>
      <c r="G60" s="99">
        <f t="shared" ref="G60" si="25">SUM(F60:F61)</f>
        <v>0</v>
      </c>
      <c r="H60" s="100" t="s">
        <v>153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/>
      <c r="C61" s="6"/>
      <c r="D61" s="10"/>
      <c r="E61" s="8"/>
      <c r="F61" s="16"/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28</v>
      </c>
      <c r="B62" s="9"/>
      <c r="C62" s="6"/>
      <c r="D62" s="10"/>
      <c r="E62" s="8"/>
      <c r="F62" s="16"/>
      <c r="G62" s="99">
        <f t="shared" ref="G62" si="26">SUM(F62:F63)</f>
        <v>0</v>
      </c>
      <c r="H62" s="100" t="s">
        <v>154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/>
      <c r="C63" s="6"/>
      <c r="D63" s="10"/>
      <c r="E63" s="8"/>
      <c r="F63" s="16"/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29</v>
      </c>
      <c r="B64" s="9"/>
      <c r="C64" s="6"/>
      <c r="D64" s="10"/>
      <c r="E64" s="8"/>
      <c r="F64" s="16"/>
      <c r="G64" s="99">
        <f t="shared" ref="G64" si="27">SUM(F64:F65)</f>
        <v>0</v>
      </c>
      <c r="H64" s="100" t="s">
        <v>155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/>
      <c r="C65" s="6"/>
      <c r="D65" s="10"/>
      <c r="E65" s="8"/>
      <c r="F65" s="16"/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30</v>
      </c>
      <c r="B66" s="9"/>
      <c r="C66" s="6"/>
      <c r="D66" s="10"/>
      <c r="E66" s="8"/>
      <c r="F66" s="16"/>
      <c r="G66" s="99">
        <f t="shared" ref="G66" si="28">SUM(F66:F67)</f>
        <v>0</v>
      </c>
      <c r="H66" s="100" t="s">
        <v>156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/>
      <c r="C67" s="6"/>
      <c r="D67" s="10"/>
      <c r="E67" s="8"/>
      <c r="F67" s="16"/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31</v>
      </c>
      <c r="B68" s="9"/>
      <c r="C68" s="6"/>
      <c r="D68" s="10"/>
      <c r="E68" s="8"/>
      <c r="F68" s="16"/>
      <c r="G68" s="99">
        <f t="shared" ref="G68" si="29">SUM(F68:F69)</f>
        <v>0</v>
      </c>
      <c r="H68" s="100" t="s">
        <v>157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/>
      <c r="C69" s="6"/>
      <c r="D69" s="10"/>
      <c r="E69" s="8"/>
      <c r="F69" s="16"/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32</v>
      </c>
      <c r="B70" s="9"/>
      <c r="C70" s="6"/>
      <c r="D70" s="10"/>
      <c r="E70" s="8"/>
      <c r="F70" s="16"/>
      <c r="G70" s="99">
        <f t="shared" ref="G70" si="30">SUM(F70:F71)</f>
        <v>0</v>
      </c>
      <c r="H70" s="100" t="s">
        <v>158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/>
      <c r="C71" s="6"/>
      <c r="D71" s="10"/>
      <c r="E71" s="8"/>
      <c r="F71" s="16"/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33</v>
      </c>
      <c r="B72" s="9"/>
      <c r="C72" s="6"/>
      <c r="D72" s="10"/>
      <c r="E72" s="8"/>
      <c r="F72" s="16"/>
      <c r="G72" s="99">
        <f t="shared" ref="G72" si="31">SUM(F72:F73)</f>
        <v>0</v>
      </c>
      <c r="H72" s="100" t="s">
        <v>159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8"/>
      <c r="B73" s="9"/>
      <c r="C73" s="6"/>
      <c r="D73" s="10"/>
      <c r="E73" s="8"/>
      <c r="F73" s="16"/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7">
        <v>34</v>
      </c>
      <c r="B74" s="9"/>
      <c r="C74" s="6"/>
      <c r="D74" s="10"/>
      <c r="E74" s="8"/>
      <c r="F74" s="16"/>
      <c r="G74" s="99">
        <f t="shared" ref="G74" si="32">SUM(F74:F75)</f>
        <v>0</v>
      </c>
      <c r="H74" s="100" t="s">
        <v>160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8"/>
      <c r="B75" s="9"/>
      <c r="C75" s="6"/>
      <c r="D75" s="10"/>
      <c r="E75" s="8"/>
      <c r="F75" s="16"/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7">
        <v>35</v>
      </c>
      <c r="B76" s="9"/>
      <c r="C76" s="6"/>
      <c r="D76" s="10"/>
      <c r="E76" s="8"/>
      <c r="F76" s="16"/>
      <c r="G76" s="99">
        <f t="shared" ref="G76" si="33">SUM(F76:F77)</f>
        <v>0</v>
      </c>
      <c r="H76" s="100" t="s">
        <v>161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8"/>
      <c r="B77" s="9"/>
      <c r="C77" s="6"/>
      <c r="D77" s="10"/>
      <c r="E77" s="8"/>
      <c r="F77" s="16"/>
      <c r="G77" s="99"/>
      <c r="H77" s="10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>
        <v>36</v>
      </c>
      <c r="B78" s="9"/>
      <c r="C78" s="6"/>
      <c r="D78" s="10"/>
      <c r="E78" s="8"/>
      <c r="F78" s="16"/>
      <c r="G78" s="99">
        <f t="shared" ref="G78" si="34">SUM(F78:F79)</f>
        <v>0</v>
      </c>
      <c r="H78" s="100" t="s">
        <v>162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/>
      <c r="C79" s="6"/>
      <c r="D79" s="10"/>
      <c r="E79" s="8"/>
      <c r="F79" s="16"/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37</v>
      </c>
      <c r="B80" s="9"/>
      <c r="C80" s="6"/>
      <c r="D80" s="10"/>
      <c r="E80" s="8"/>
      <c r="F80" s="16"/>
      <c r="G80" s="99">
        <f t="shared" ref="G80:G96" si="35">SUM(F80:F81)</f>
        <v>0</v>
      </c>
      <c r="H80" s="100" t="s">
        <v>163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8"/>
      <c r="B81" s="9"/>
      <c r="C81" s="6"/>
      <c r="D81" s="10"/>
      <c r="E81" s="8"/>
      <c r="F81" s="16"/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7">
        <v>38</v>
      </c>
      <c r="B82" s="9"/>
      <c r="C82" s="6"/>
      <c r="D82" s="10"/>
      <c r="E82" s="8"/>
      <c r="F82" s="16"/>
      <c r="G82" s="99">
        <f t="shared" ref="G82:G94" si="36">SUM(F82:F83)</f>
        <v>0</v>
      </c>
      <c r="H82" s="100" t="s">
        <v>164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8"/>
      <c r="B83" s="9"/>
      <c r="C83" s="6"/>
      <c r="D83" s="10"/>
      <c r="E83" s="8"/>
      <c r="F83" s="16"/>
      <c r="G83" s="99"/>
      <c r="H83" s="10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>
        <v>39</v>
      </c>
      <c r="B84" s="9"/>
      <c r="C84" s="6"/>
      <c r="D84" s="10"/>
      <c r="E84" s="8"/>
      <c r="F84" s="16"/>
      <c r="G84" s="99">
        <f t="shared" si="35"/>
        <v>0</v>
      </c>
      <c r="H84" s="100" t="s">
        <v>165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8"/>
      <c r="B85" s="9"/>
      <c r="C85" s="6"/>
      <c r="D85" s="10"/>
      <c r="E85" s="8"/>
      <c r="F85" s="16"/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>
        <v>40</v>
      </c>
      <c r="B86" s="9"/>
      <c r="C86" s="6"/>
      <c r="D86" s="10"/>
      <c r="E86" s="8"/>
      <c r="F86" s="16"/>
      <c r="G86" s="99">
        <f t="shared" si="36"/>
        <v>0</v>
      </c>
      <c r="H86" s="100" t="s">
        <v>166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/>
      <c r="C87" s="6"/>
      <c r="D87" s="10"/>
      <c r="E87" s="8"/>
      <c r="F87" s="16"/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41</v>
      </c>
      <c r="B88" s="9"/>
      <c r="C88" s="6"/>
      <c r="D88" s="10"/>
      <c r="E88" s="8"/>
      <c r="F88" s="16"/>
      <c r="G88" s="99">
        <f t="shared" si="35"/>
        <v>0</v>
      </c>
      <c r="H88" s="100" t="s">
        <v>167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/>
      <c r="C89" s="6"/>
      <c r="D89" s="10"/>
      <c r="E89" s="8"/>
      <c r="F89" s="16"/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42</v>
      </c>
      <c r="B90" s="9"/>
      <c r="C90" s="6"/>
      <c r="D90" s="10"/>
      <c r="E90" s="8"/>
      <c r="F90" s="16"/>
      <c r="G90" s="99">
        <f t="shared" si="36"/>
        <v>0</v>
      </c>
      <c r="H90" s="100" t="s">
        <v>168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8"/>
      <c r="B91" s="9"/>
      <c r="C91" s="6"/>
      <c r="D91" s="10"/>
      <c r="E91" s="8"/>
      <c r="F91" s="16"/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7">
        <v>43</v>
      </c>
      <c r="B92" s="9"/>
      <c r="C92" s="6"/>
      <c r="D92" s="10"/>
      <c r="E92" s="8"/>
      <c r="F92" s="16"/>
      <c r="G92" s="99">
        <f t="shared" si="35"/>
        <v>0</v>
      </c>
      <c r="H92" s="100" t="s">
        <v>169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8"/>
      <c r="B93" s="9"/>
      <c r="C93" s="6"/>
      <c r="D93" s="10"/>
      <c r="E93" s="8"/>
      <c r="F93" s="16"/>
      <c r="G93" s="99"/>
      <c r="H93" s="10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>
        <v>44</v>
      </c>
      <c r="B94" s="9"/>
      <c r="C94" s="6"/>
      <c r="D94" s="10"/>
      <c r="E94" s="8"/>
      <c r="F94" s="16"/>
      <c r="G94" s="99">
        <f t="shared" si="36"/>
        <v>0</v>
      </c>
      <c r="H94" s="100" t="s">
        <v>170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/>
      <c r="C95" s="6"/>
      <c r="D95" s="10"/>
      <c r="E95" s="8"/>
      <c r="F95" s="16"/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45</v>
      </c>
      <c r="B96" s="9"/>
      <c r="C96" s="6"/>
      <c r="D96" s="10"/>
      <c r="E96" s="8"/>
      <c r="F96" s="16"/>
      <c r="G96" s="99">
        <f t="shared" si="35"/>
        <v>0</v>
      </c>
      <c r="H96" s="100" t="s">
        <v>172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8"/>
      <c r="B97" s="9"/>
      <c r="C97" s="6"/>
      <c r="D97" s="10"/>
      <c r="E97" s="8"/>
      <c r="F97" s="16"/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7">
        <v>46</v>
      </c>
      <c r="B98" s="9"/>
      <c r="C98" s="6"/>
      <c r="D98" s="10"/>
      <c r="E98" s="8"/>
      <c r="F98" s="16"/>
      <c r="G98" s="99">
        <f t="shared" ref="G98" si="37">SUM(F98:F99)</f>
        <v>0</v>
      </c>
      <c r="H98" s="122" t="s">
        <v>170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8"/>
      <c r="B99" s="9"/>
      <c r="C99" s="6"/>
      <c r="D99" s="10"/>
      <c r="E99" s="8"/>
      <c r="F99" s="16"/>
      <c r="G99" s="99"/>
      <c r="H99" s="124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7">
        <v>47</v>
      </c>
      <c r="B100" s="9"/>
      <c r="C100" s="6"/>
      <c r="D100" s="10"/>
      <c r="E100" s="8"/>
      <c r="F100" s="16"/>
      <c r="G100" s="99">
        <f t="shared" ref="G100" si="38">SUM(F100:F101)</f>
        <v>0</v>
      </c>
      <c r="H100" s="122" t="s">
        <v>169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8"/>
      <c r="B101" s="9"/>
      <c r="C101" s="6"/>
      <c r="D101" s="10"/>
      <c r="E101" s="8"/>
      <c r="F101" s="16"/>
      <c r="G101" s="99"/>
      <c r="H101" s="124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>
        <v>48</v>
      </c>
      <c r="B102" s="9"/>
      <c r="C102" s="6"/>
      <c r="D102" s="10"/>
      <c r="E102" s="8"/>
      <c r="F102" s="16"/>
      <c r="G102" s="99">
        <f t="shared" ref="G102" si="39">SUM(F102:F103)</f>
        <v>0</v>
      </c>
      <c r="H102" s="122" t="s">
        <v>670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/>
      <c r="C103" s="6"/>
      <c r="D103" s="10"/>
      <c r="E103" s="8"/>
      <c r="F103" s="16"/>
      <c r="G103" s="99"/>
      <c r="H103" s="124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49</v>
      </c>
      <c r="B104" s="9"/>
      <c r="C104" s="6"/>
      <c r="D104" s="10"/>
      <c r="E104" s="8"/>
      <c r="F104" s="16"/>
      <c r="G104" s="99">
        <f t="shared" ref="G104" si="40">SUM(F104:F105)</f>
        <v>0</v>
      </c>
      <c r="H104" s="122" t="s">
        <v>167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/>
      <c r="C105" s="6"/>
      <c r="D105" s="10"/>
      <c r="E105" s="8"/>
      <c r="F105" s="16"/>
      <c r="G105" s="99"/>
      <c r="H105" s="124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50</v>
      </c>
      <c r="B106" s="9"/>
      <c r="C106" s="6"/>
      <c r="D106" s="10"/>
      <c r="E106" s="8"/>
      <c r="F106" s="16"/>
      <c r="G106" s="99">
        <f t="shared" ref="G106:G122" si="41">SUM(F106:F107)</f>
        <v>0</v>
      </c>
      <c r="H106" s="122" t="s">
        <v>166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/>
      <c r="C107" s="6"/>
      <c r="D107" s="10"/>
      <c r="E107" s="8"/>
      <c r="F107" s="16"/>
      <c r="G107" s="99"/>
      <c r="H107" s="124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51</v>
      </c>
      <c r="B108" s="9"/>
      <c r="C108" s="6"/>
      <c r="D108" s="10"/>
      <c r="E108" s="8"/>
      <c r="F108" s="16"/>
      <c r="G108" s="99">
        <f t="shared" ref="G108:G120" si="42">SUM(F108:F109)</f>
        <v>0</v>
      </c>
      <c r="H108" s="122" t="s">
        <v>165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/>
      <c r="C109" s="6"/>
      <c r="D109" s="10"/>
      <c r="E109" s="8"/>
      <c r="F109" s="16"/>
      <c r="G109" s="99"/>
      <c r="H109" s="124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52</v>
      </c>
      <c r="B110" s="9"/>
      <c r="C110" s="6"/>
      <c r="D110" s="10"/>
      <c r="E110" s="8"/>
      <c r="F110" s="16"/>
      <c r="G110" s="99">
        <f t="shared" si="41"/>
        <v>0</v>
      </c>
      <c r="H110" s="122" t="s">
        <v>671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8"/>
      <c r="B111" s="9"/>
      <c r="C111" s="6"/>
      <c r="D111" s="10"/>
      <c r="E111" s="8"/>
      <c r="F111" s="16"/>
      <c r="G111" s="99"/>
      <c r="H111" s="124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>
        <v>53</v>
      </c>
      <c r="B112" s="9"/>
      <c r="C112" s="6"/>
      <c r="D112" s="10"/>
      <c r="E112" s="8"/>
      <c r="F112" s="16"/>
      <c r="G112" s="99">
        <f t="shared" si="42"/>
        <v>0</v>
      </c>
      <c r="H112" s="122" t="s">
        <v>163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8"/>
      <c r="B113" s="9"/>
      <c r="C113" s="6"/>
      <c r="D113" s="10"/>
      <c r="E113" s="8"/>
      <c r="F113" s="16"/>
      <c r="G113" s="99"/>
      <c r="H113" s="124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>
        <v>54</v>
      </c>
      <c r="B114" s="9"/>
      <c r="C114" s="6"/>
      <c r="D114" s="10"/>
      <c r="E114" s="8"/>
      <c r="F114" s="16"/>
      <c r="G114" s="99">
        <f t="shared" si="41"/>
        <v>0</v>
      </c>
      <c r="H114" s="122" t="s">
        <v>672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/>
      <c r="C115" s="6"/>
      <c r="D115" s="10"/>
      <c r="E115" s="8"/>
      <c r="F115" s="16"/>
      <c r="G115" s="99"/>
      <c r="H115" s="12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55</v>
      </c>
      <c r="B116" s="9"/>
      <c r="C116" s="6"/>
      <c r="D116" s="10"/>
      <c r="E116" s="8"/>
      <c r="F116" s="16"/>
      <c r="G116" s="99">
        <f t="shared" si="42"/>
        <v>0</v>
      </c>
      <c r="H116" s="122" t="s">
        <v>673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8"/>
      <c r="B117" s="9"/>
      <c r="C117" s="6"/>
      <c r="D117" s="10"/>
      <c r="E117" s="8"/>
      <c r="F117" s="16"/>
      <c r="G117" s="99"/>
      <c r="H117" s="124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>
        <v>56</v>
      </c>
      <c r="B118" s="9"/>
      <c r="C118" s="6"/>
      <c r="D118" s="10"/>
      <c r="E118" s="8"/>
      <c r="F118" s="16"/>
      <c r="G118" s="99">
        <f t="shared" si="41"/>
        <v>0</v>
      </c>
      <c r="H118" s="122" t="s">
        <v>674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/>
      <c r="C119" s="6"/>
      <c r="D119" s="10"/>
      <c r="E119" s="8"/>
      <c r="F119" s="16"/>
      <c r="G119" s="99"/>
      <c r="H119" s="124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>
        <v>57</v>
      </c>
      <c r="B120" s="9"/>
      <c r="C120" s="6"/>
      <c r="D120" s="10"/>
      <c r="E120" s="8"/>
      <c r="F120" s="16"/>
      <c r="G120" s="99">
        <f t="shared" si="42"/>
        <v>0</v>
      </c>
      <c r="H120" s="122" t="s">
        <v>675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8"/>
      <c r="B121" s="9"/>
      <c r="C121" s="6"/>
      <c r="D121" s="10"/>
      <c r="E121" s="8"/>
      <c r="F121" s="16"/>
      <c r="G121" s="99"/>
      <c r="H121" s="124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>
        <v>58</v>
      </c>
      <c r="B122" s="9"/>
      <c r="C122" s="6"/>
      <c r="D122" s="10"/>
      <c r="E122" s="8"/>
      <c r="F122" s="16"/>
      <c r="G122" s="99">
        <f t="shared" si="41"/>
        <v>0</v>
      </c>
      <c r="H122" s="122" t="s">
        <v>676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8"/>
      <c r="B123" s="9"/>
      <c r="C123" s="6"/>
      <c r="D123" s="10"/>
      <c r="E123" s="8"/>
      <c r="F123" s="16"/>
      <c r="G123" s="99"/>
      <c r="H123" s="124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>
        <v>59</v>
      </c>
      <c r="B124" s="9"/>
      <c r="C124" s="6"/>
      <c r="D124" s="10"/>
      <c r="E124" s="8"/>
      <c r="F124" s="16"/>
      <c r="G124" s="99">
        <f t="shared" ref="G124:G132" si="43">SUM(F124:F125)</f>
        <v>0</v>
      </c>
      <c r="H124" s="122" t="s">
        <v>677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2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60</v>
      </c>
      <c r="B126" s="9"/>
      <c r="C126" s="6"/>
      <c r="D126" s="10"/>
      <c r="E126" s="8"/>
      <c r="F126" s="16"/>
      <c r="G126" s="99">
        <f t="shared" ref="G126:G130" si="44">SUM(F126:F127)</f>
        <v>0</v>
      </c>
      <c r="H126" s="122" t="s">
        <v>678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/>
      <c r="C127" s="6"/>
      <c r="D127" s="10"/>
      <c r="E127" s="8"/>
      <c r="F127" s="16"/>
      <c r="G127" s="99"/>
      <c r="H127" s="124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97">
        <v>61</v>
      </c>
      <c r="B128" s="9"/>
      <c r="C128" s="6"/>
      <c r="D128" s="10"/>
      <c r="E128" s="8"/>
      <c r="F128" s="16"/>
      <c r="G128" s="99">
        <f t="shared" si="43"/>
        <v>0</v>
      </c>
      <c r="H128" s="122" t="s">
        <v>679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6" x14ac:dyDescent="0.25">
      <c r="A129" s="98"/>
      <c r="B129" s="9"/>
      <c r="C129" s="6"/>
      <c r="D129" s="10"/>
      <c r="E129" s="8"/>
      <c r="F129" s="16"/>
      <c r="G129" s="99"/>
      <c r="H129" s="124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6" x14ac:dyDescent="0.25">
      <c r="A130" s="97">
        <v>62</v>
      </c>
      <c r="B130" s="9"/>
      <c r="C130" s="6"/>
      <c r="D130" s="10"/>
      <c r="E130" s="8"/>
      <c r="F130" s="16"/>
      <c r="G130" s="99">
        <f t="shared" si="44"/>
        <v>0</v>
      </c>
      <c r="H130" s="122" t="s">
        <v>680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6" x14ac:dyDescent="0.25">
      <c r="A131" s="98"/>
      <c r="B131" s="9"/>
      <c r="C131" s="6"/>
      <c r="D131" s="10"/>
      <c r="E131" s="8"/>
      <c r="F131" s="16"/>
      <c r="G131" s="99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6" x14ac:dyDescent="0.25">
      <c r="A132" s="97">
        <v>63</v>
      </c>
      <c r="B132" s="9"/>
      <c r="C132" s="6"/>
      <c r="D132" s="10"/>
      <c r="E132" s="8"/>
      <c r="F132" s="16"/>
      <c r="G132" s="99">
        <f t="shared" si="43"/>
        <v>0</v>
      </c>
      <c r="H132" s="122" t="s">
        <v>681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6" x14ac:dyDescent="0.25">
      <c r="A133" s="98"/>
      <c r="B133" s="9"/>
      <c r="C133" s="6"/>
      <c r="D133" s="10"/>
      <c r="E133" s="8"/>
      <c r="F133" s="16"/>
      <c r="G133" s="99"/>
      <c r="H133" s="124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 x14ac:dyDescent="0.3">
      <c r="A134" s="101" t="s">
        <v>15</v>
      </c>
      <c r="B134" s="101"/>
      <c r="C134" s="101"/>
      <c r="D134" s="101"/>
      <c r="E134" s="101"/>
      <c r="F134" s="24"/>
      <c r="G134" s="17"/>
      <c r="H134" s="1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02"/>
      <c r="B135" s="103"/>
      <c r="C135" s="103"/>
      <c r="D135" s="103"/>
      <c r="E135" s="103"/>
      <c r="F135" s="104"/>
      <c r="G135" s="104"/>
      <c r="H135" s="10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06" t="s">
        <v>16</v>
      </c>
      <c r="B136" s="107"/>
      <c r="C136" s="107"/>
      <c r="D136" s="107"/>
      <c r="E136" s="107"/>
      <c r="F136" s="107"/>
      <c r="G136" s="107"/>
      <c r="H136" s="108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06" t="s">
        <v>70</v>
      </c>
      <c r="B137" s="107"/>
      <c r="C137" s="107"/>
      <c r="D137" s="107"/>
      <c r="E137" s="107"/>
      <c r="F137" s="107"/>
      <c r="G137" s="107"/>
      <c r="H137" s="108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09"/>
      <c r="B138" s="110"/>
      <c r="C138" s="110"/>
      <c r="D138" s="110"/>
      <c r="E138" s="110"/>
      <c r="F138" s="110"/>
      <c r="G138" s="110"/>
      <c r="H138" s="1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22"/>
      <c r="B139" s="25"/>
      <c r="C139" s="25"/>
      <c r="D139" s="25"/>
      <c r="E139" s="25"/>
      <c r="F139" s="25"/>
      <c r="G139" s="25"/>
      <c r="H139" s="2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83" t="s">
        <v>17</v>
      </c>
      <c r="B140" s="84"/>
      <c r="C140" s="84"/>
      <c r="D140" s="84"/>
      <c r="E140" s="84"/>
      <c r="F140" s="84"/>
      <c r="G140" s="84"/>
      <c r="H140" s="8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86"/>
      <c r="B141" s="87"/>
      <c r="C141" s="87"/>
      <c r="D141" s="87"/>
      <c r="E141" s="87"/>
      <c r="F141" s="87"/>
      <c r="G141" s="87"/>
      <c r="H141" s="88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</sheetData>
  <autoFilter ref="A7:Y134" xr:uid="{00000000-0009-0000-0000-00000B000000}"/>
  <mergeCells count="200">
    <mergeCell ref="A134:E134"/>
    <mergeCell ref="A135:H135"/>
    <mergeCell ref="A136:H136"/>
    <mergeCell ref="A137:H137"/>
    <mergeCell ref="A138:H138"/>
    <mergeCell ref="A140:H141"/>
    <mergeCell ref="A130:A131"/>
    <mergeCell ref="G130:G131"/>
    <mergeCell ref="H130:H131"/>
    <mergeCell ref="A132:A133"/>
    <mergeCell ref="G132:G133"/>
    <mergeCell ref="H132:H133"/>
    <mergeCell ref="A126:A127"/>
    <mergeCell ref="G126:G127"/>
    <mergeCell ref="H126:H127"/>
    <mergeCell ref="A128:A129"/>
    <mergeCell ref="G128:G129"/>
    <mergeCell ref="H128:H129"/>
    <mergeCell ref="A122:A123"/>
    <mergeCell ref="G122:G123"/>
    <mergeCell ref="H122:H123"/>
    <mergeCell ref="A124:A125"/>
    <mergeCell ref="G124:G125"/>
    <mergeCell ref="H124:H125"/>
    <mergeCell ref="A118:A119"/>
    <mergeCell ref="G118:G119"/>
    <mergeCell ref="H118:H119"/>
    <mergeCell ref="A120:A121"/>
    <mergeCell ref="G120:G121"/>
    <mergeCell ref="H120:H121"/>
    <mergeCell ref="A114:A115"/>
    <mergeCell ref="G114:G115"/>
    <mergeCell ref="H114:H115"/>
    <mergeCell ref="A116:A117"/>
    <mergeCell ref="G116:G117"/>
    <mergeCell ref="H116:H117"/>
    <mergeCell ref="A110:A111"/>
    <mergeCell ref="G110:G111"/>
    <mergeCell ref="H110:H111"/>
    <mergeCell ref="A112:A113"/>
    <mergeCell ref="G112:G113"/>
    <mergeCell ref="H112:H113"/>
    <mergeCell ref="A106:A107"/>
    <mergeCell ref="G106:G107"/>
    <mergeCell ref="H106:H107"/>
    <mergeCell ref="A108:A109"/>
    <mergeCell ref="G108:G109"/>
    <mergeCell ref="H108:H109"/>
    <mergeCell ref="A102:A103"/>
    <mergeCell ref="G102:G103"/>
    <mergeCell ref="H102:H103"/>
    <mergeCell ref="A104:A105"/>
    <mergeCell ref="G104:G105"/>
    <mergeCell ref="H104:H105"/>
    <mergeCell ref="A98:A99"/>
    <mergeCell ref="G98:G99"/>
    <mergeCell ref="H98:H99"/>
    <mergeCell ref="A100:A101"/>
    <mergeCell ref="G100:G101"/>
    <mergeCell ref="H100:H101"/>
    <mergeCell ref="A94:A95"/>
    <mergeCell ref="G94:G95"/>
    <mergeCell ref="H94:H95"/>
    <mergeCell ref="A96:A97"/>
    <mergeCell ref="G96:G97"/>
    <mergeCell ref="H96:H97"/>
    <mergeCell ref="A90:A91"/>
    <mergeCell ref="G90:G91"/>
    <mergeCell ref="H90:H91"/>
    <mergeCell ref="A92:A93"/>
    <mergeCell ref="G92:G93"/>
    <mergeCell ref="H92:H93"/>
    <mergeCell ref="A86:A87"/>
    <mergeCell ref="G86:G87"/>
    <mergeCell ref="H86:H87"/>
    <mergeCell ref="A88:A89"/>
    <mergeCell ref="G88:G89"/>
    <mergeCell ref="H88:H89"/>
    <mergeCell ref="A82:A83"/>
    <mergeCell ref="G82:G83"/>
    <mergeCell ref="H82:H83"/>
    <mergeCell ref="A84:A85"/>
    <mergeCell ref="G84:G85"/>
    <mergeCell ref="H84:H85"/>
    <mergeCell ref="A78:A79"/>
    <mergeCell ref="G78:G79"/>
    <mergeCell ref="H78:H79"/>
    <mergeCell ref="A80:A81"/>
    <mergeCell ref="G80:G81"/>
    <mergeCell ref="H80:H81"/>
    <mergeCell ref="A74:A75"/>
    <mergeCell ref="G74:G75"/>
    <mergeCell ref="H74:H75"/>
    <mergeCell ref="A76:A77"/>
    <mergeCell ref="G76:G77"/>
    <mergeCell ref="H76:H77"/>
    <mergeCell ref="A70:A71"/>
    <mergeCell ref="G70:G71"/>
    <mergeCell ref="H70:H71"/>
    <mergeCell ref="A72:A73"/>
    <mergeCell ref="G72:G73"/>
    <mergeCell ref="H72:H73"/>
    <mergeCell ref="A66:A67"/>
    <mergeCell ref="G66:G67"/>
    <mergeCell ref="H66:H67"/>
    <mergeCell ref="A68:A69"/>
    <mergeCell ref="G68:G69"/>
    <mergeCell ref="H68:H69"/>
    <mergeCell ref="A62:A63"/>
    <mergeCell ref="G62:G63"/>
    <mergeCell ref="H62:H63"/>
    <mergeCell ref="A64:A65"/>
    <mergeCell ref="G64:G65"/>
    <mergeCell ref="H64:H65"/>
    <mergeCell ref="A58:A59"/>
    <mergeCell ref="G58:G59"/>
    <mergeCell ref="H58:H59"/>
    <mergeCell ref="A60:A61"/>
    <mergeCell ref="G60:G61"/>
    <mergeCell ref="H60:H61"/>
    <mergeCell ref="A54:A55"/>
    <mergeCell ref="G54:G55"/>
    <mergeCell ref="H54:H55"/>
    <mergeCell ref="A56:A57"/>
    <mergeCell ref="G56:G57"/>
    <mergeCell ref="H56:H57"/>
    <mergeCell ref="A50:A51"/>
    <mergeCell ref="G50:G51"/>
    <mergeCell ref="H50:H51"/>
    <mergeCell ref="A52:A53"/>
    <mergeCell ref="G52:G53"/>
    <mergeCell ref="H52:H53"/>
    <mergeCell ref="A46:A47"/>
    <mergeCell ref="G46:G47"/>
    <mergeCell ref="H46:H47"/>
    <mergeCell ref="A48:A49"/>
    <mergeCell ref="G48:G49"/>
    <mergeCell ref="H48:H49"/>
    <mergeCell ref="A42:A43"/>
    <mergeCell ref="G42:G43"/>
    <mergeCell ref="H42:H43"/>
    <mergeCell ref="A44:A45"/>
    <mergeCell ref="G44:G45"/>
    <mergeCell ref="H44:H45"/>
    <mergeCell ref="A38:A39"/>
    <mergeCell ref="G38:G39"/>
    <mergeCell ref="H38:H39"/>
    <mergeCell ref="A40:A41"/>
    <mergeCell ref="G40:G41"/>
    <mergeCell ref="H40:H41"/>
    <mergeCell ref="A34:A35"/>
    <mergeCell ref="G34:G35"/>
    <mergeCell ref="H34:H35"/>
    <mergeCell ref="A36:A37"/>
    <mergeCell ref="G36:G37"/>
    <mergeCell ref="H36:H37"/>
    <mergeCell ref="A30:A31"/>
    <mergeCell ref="G30:G31"/>
    <mergeCell ref="H30:H31"/>
    <mergeCell ref="A32:A33"/>
    <mergeCell ref="G32:G33"/>
    <mergeCell ref="H32:H33"/>
    <mergeCell ref="A26:A27"/>
    <mergeCell ref="G26:G27"/>
    <mergeCell ref="H26:H27"/>
    <mergeCell ref="A28:A29"/>
    <mergeCell ref="G28:G29"/>
    <mergeCell ref="H28:H29"/>
    <mergeCell ref="A22:A23"/>
    <mergeCell ref="G22:G23"/>
    <mergeCell ref="H22:H23"/>
    <mergeCell ref="A24:A25"/>
    <mergeCell ref="G24:G25"/>
    <mergeCell ref="H24:H25"/>
    <mergeCell ref="A18:A19"/>
    <mergeCell ref="G18:G19"/>
    <mergeCell ref="H18:H19"/>
    <mergeCell ref="A20:A21"/>
    <mergeCell ref="G20:G21"/>
    <mergeCell ref="H20:H21"/>
    <mergeCell ref="A16:A17"/>
    <mergeCell ref="G16:G17"/>
    <mergeCell ref="H16:H17"/>
    <mergeCell ref="A10:A11"/>
    <mergeCell ref="G10:G11"/>
    <mergeCell ref="H10:H11"/>
    <mergeCell ref="A12:A13"/>
    <mergeCell ref="G12:G13"/>
    <mergeCell ref="H12:H13"/>
    <mergeCell ref="A1:H1"/>
    <mergeCell ref="A2:H2"/>
    <mergeCell ref="A3:H3"/>
    <mergeCell ref="A4:H4"/>
    <mergeCell ref="A5:H5"/>
    <mergeCell ref="A8:A9"/>
    <mergeCell ref="G8:G9"/>
    <mergeCell ref="H8:H9"/>
    <mergeCell ref="A14:A15"/>
    <mergeCell ref="G14:G15"/>
    <mergeCell ref="H14:H15"/>
  </mergeCells>
  <pageMargins left="0.7" right="0.7" top="0.75" bottom="0.75" header="0" footer="0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  <outlinePr summaryBelow="0" summaryRight="0"/>
  </sheetPr>
  <dimension ref="A1:Y688"/>
  <sheetViews>
    <sheetView zoomScale="85" zoomScaleNormal="85" workbookViewId="0">
      <pane ySplit="7" topLeftCell="A104" activePane="bottomLeft" state="frozen"/>
      <selection activeCell="D129" sqref="D129"/>
      <selection pane="bottomLeft" activeCell="D129" sqref="D129"/>
    </sheetView>
  </sheetViews>
  <sheetFormatPr defaultColWidth="14.44140625" defaultRowHeight="15" customHeight="1" x14ac:dyDescent="0.25"/>
  <cols>
    <col min="1" max="2" width="14.44140625" style="11" customWidth="1"/>
    <col min="3" max="3" width="17.6640625" style="11" customWidth="1"/>
    <col min="4" max="4" width="20.6640625" style="11" customWidth="1"/>
    <col min="5" max="5" width="36.88671875" style="11" customWidth="1"/>
    <col min="6" max="25" width="14.44140625" style="11" customWidth="1"/>
    <col min="26" max="16384" width="14.44140625" style="11"/>
  </cols>
  <sheetData>
    <row r="1" spans="1:25" ht="16.8" x14ac:dyDescent="0.3">
      <c r="A1" s="112" t="s">
        <v>4</v>
      </c>
      <c r="B1" s="112"/>
      <c r="C1" s="113"/>
      <c r="D1" s="113"/>
      <c r="E1" s="113"/>
      <c r="F1" s="113"/>
      <c r="G1" s="113"/>
      <c r="H1" s="113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16.8" x14ac:dyDescent="0.3">
      <c r="A2" s="112" t="s">
        <v>5</v>
      </c>
      <c r="B2" s="112"/>
      <c r="C2" s="113"/>
      <c r="D2" s="113"/>
      <c r="E2" s="113"/>
      <c r="F2" s="113"/>
      <c r="G2" s="113"/>
      <c r="H2" s="113"/>
      <c r="I2" s="12"/>
      <c r="J2" s="12">
        <v>208</v>
      </c>
      <c r="K2" s="12">
        <v>3373</v>
      </c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15.6" x14ac:dyDescent="0.3">
      <c r="A3" s="114" t="s">
        <v>24</v>
      </c>
      <c r="B3" s="114"/>
      <c r="C3" s="113"/>
      <c r="D3" s="113"/>
      <c r="E3" s="113"/>
      <c r="F3" s="113"/>
      <c r="G3" s="113"/>
      <c r="H3" s="113"/>
      <c r="I3" s="12"/>
      <c r="J3" s="12">
        <v>27</v>
      </c>
      <c r="K3" s="12">
        <v>54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6.8" x14ac:dyDescent="0.3">
      <c r="A4" s="115" t="s">
        <v>669</v>
      </c>
      <c r="B4" s="115"/>
      <c r="C4" s="116"/>
      <c r="D4" s="116"/>
      <c r="E4" s="116"/>
      <c r="F4" s="116"/>
      <c r="G4" s="116"/>
      <c r="H4" s="116"/>
      <c r="I4" s="12"/>
      <c r="J4" s="12">
        <f>J2/J3</f>
        <v>7.7037037037037033</v>
      </c>
      <c r="K4" s="12">
        <f>K2/K3</f>
        <v>62.462962962962962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7.399999999999999" thickBot="1" x14ac:dyDescent="0.35">
      <c r="A5" s="115" t="s">
        <v>97</v>
      </c>
      <c r="B5" s="115"/>
      <c r="C5" s="116"/>
      <c r="D5" s="116"/>
      <c r="E5" s="116"/>
      <c r="F5" s="116"/>
      <c r="G5" s="116"/>
      <c r="H5" s="116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31.8" thickBot="1" x14ac:dyDescent="0.35">
      <c r="A6" s="3" t="s">
        <v>6</v>
      </c>
      <c r="B6" s="1" t="s">
        <v>7</v>
      </c>
      <c r="C6" s="2" t="s">
        <v>21</v>
      </c>
      <c r="D6" s="2" t="s">
        <v>0</v>
      </c>
      <c r="E6" s="2" t="s">
        <v>1</v>
      </c>
      <c r="F6" s="2" t="s">
        <v>2</v>
      </c>
      <c r="G6" s="4" t="s">
        <v>3</v>
      </c>
      <c r="H6" s="5" t="s">
        <v>14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5.6" x14ac:dyDescent="0.3">
      <c r="A7" s="14"/>
      <c r="B7" s="14"/>
      <c r="C7" s="14"/>
      <c r="D7" s="14"/>
      <c r="E7" s="14"/>
      <c r="F7" s="14"/>
      <c r="G7" s="15"/>
      <c r="H7" s="14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5.6" x14ac:dyDescent="0.25">
      <c r="A8" s="97">
        <v>1</v>
      </c>
      <c r="B8" s="9"/>
      <c r="C8" s="6"/>
      <c r="D8" s="10"/>
      <c r="E8" s="8"/>
      <c r="F8" s="16"/>
      <c r="G8" s="99">
        <f>SUM(F8:F9)</f>
        <v>0</v>
      </c>
      <c r="H8" s="100" t="s">
        <v>127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15.6" x14ac:dyDescent="0.25">
      <c r="A9" s="98"/>
      <c r="B9" s="9"/>
      <c r="C9" s="6"/>
      <c r="D9" s="10"/>
      <c r="E9" s="8"/>
      <c r="F9" s="16"/>
      <c r="G9" s="99"/>
      <c r="H9" s="100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15.6" x14ac:dyDescent="0.25">
      <c r="A10" s="97">
        <v>2</v>
      </c>
      <c r="B10" s="9"/>
      <c r="C10" s="6"/>
      <c r="D10" s="10"/>
      <c r="E10" s="8"/>
      <c r="F10" s="16"/>
      <c r="G10" s="99">
        <f t="shared" ref="G10" si="0">SUM(F10:F11)</f>
        <v>0</v>
      </c>
      <c r="H10" s="100" t="s">
        <v>128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5.6" x14ac:dyDescent="0.25">
      <c r="A11" s="98"/>
      <c r="B11" s="9"/>
      <c r="C11" s="6"/>
      <c r="D11" s="10"/>
      <c r="E11" s="8"/>
      <c r="F11" s="16"/>
      <c r="G11" s="99"/>
      <c r="H11" s="100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15.6" x14ac:dyDescent="0.25">
      <c r="A12" s="97">
        <v>3</v>
      </c>
      <c r="B12" s="9"/>
      <c r="C12" s="6"/>
      <c r="D12" s="10"/>
      <c r="E12" s="8"/>
      <c r="F12" s="16"/>
      <c r="G12" s="99">
        <f t="shared" ref="G12" si="1">SUM(F12:F13)</f>
        <v>0</v>
      </c>
      <c r="H12" s="100" t="s">
        <v>129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15.6" x14ac:dyDescent="0.25">
      <c r="A13" s="98"/>
      <c r="B13" s="9"/>
      <c r="C13" s="6"/>
      <c r="D13" s="10"/>
      <c r="E13" s="8"/>
      <c r="F13" s="16"/>
      <c r="G13" s="99"/>
      <c r="H13" s="100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5.6" x14ac:dyDescent="0.25">
      <c r="A14" s="97">
        <v>4</v>
      </c>
      <c r="B14" s="9"/>
      <c r="C14" s="6"/>
      <c r="D14" s="10"/>
      <c r="E14" s="8"/>
      <c r="F14" s="16"/>
      <c r="G14" s="99">
        <f t="shared" ref="G14" si="2">SUM(F14:F15)</f>
        <v>0</v>
      </c>
      <c r="H14" s="100" t="s">
        <v>130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15.6" x14ac:dyDescent="0.25">
      <c r="A15" s="98"/>
      <c r="B15" s="9"/>
      <c r="C15" s="6"/>
      <c r="D15" s="10"/>
      <c r="E15" s="8"/>
      <c r="F15" s="16"/>
      <c r="G15" s="99"/>
      <c r="H15" s="100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5.6" x14ac:dyDescent="0.25">
      <c r="A16" s="97">
        <v>5</v>
      </c>
      <c r="B16" s="9"/>
      <c r="C16" s="6"/>
      <c r="D16" s="10"/>
      <c r="E16" s="8"/>
      <c r="F16" s="16"/>
      <c r="G16" s="99">
        <f t="shared" ref="G16" si="3">SUM(F16:F17)</f>
        <v>0</v>
      </c>
      <c r="H16" s="100" t="s">
        <v>131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5.6" x14ac:dyDescent="0.25">
      <c r="A17" s="98"/>
      <c r="B17" s="9"/>
      <c r="C17" s="6"/>
      <c r="D17" s="10"/>
      <c r="E17" s="8"/>
      <c r="F17" s="16"/>
      <c r="G17" s="99"/>
      <c r="H17" s="100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5.6" x14ac:dyDescent="0.25">
      <c r="A18" s="97">
        <v>6</v>
      </c>
      <c r="B18" s="9"/>
      <c r="C18" s="6"/>
      <c r="D18" s="10"/>
      <c r="E18" s="8"/>
      <c r="F18" s="16"/>
      <c r="G18" s="99">
        <f t="shared" ref="G18" si="4">SUM(F18:F19)</f>
        <v>0</v>
      </c>
      <c r="H18" s="100" t="s">
        <v>132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5.6" x14ac:dyDescent="0.25">
      <c r="A19" s="98"/>
      <c r="B19" s="9"/>
      <c r="C19" s="6"/>
      <c r="D19" s="10"/>
      <c r="E19" s="8"/>
      <c r="F19" s="16"/>
      <c r="G19" s="99"/>
      <c r="H19" s="100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5.6" x14ac:dyDescent="0.25">
      <c r="A20" s="97">
        <v>7</v>
      </c>
      <c r="B20" s="9"/>
      <c r="C20" s="6"/>
      <c r="D20" s="10"/>
      <c r="E20" s="8"/>
      <c r="F20" s="16"/>
      <c r="G20" s="99">
        <f t="shared" ref="G20" si="5">SUM(F20:F21)</f>
        <v>0</v>
      </c>
      <c r="H20" s="100" t="s">
        <v>133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5.6" x14ac:dyDescent="0.25">
      <c r="A21" s="98"/>
      <c r="B21" s="9"/>
      <c r="C21" s="6"/>
      <c r="D21" s="10"/>
      <c r="E21" s="8"/>
      <c r="F21" s="16"/>
      <c r="G21" s="99"/>
      <c r="H21" s="100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5.6" x14ac:dyDescent="0.25">
      <c r="A22" s="97">
        <v>8</v>
      </c>
      <c r="B22" s="9"/>
      <c r="C22" s="6"/>
      <c r="D22" s="10"/>
      <c r="E22" s="8"/>
      <c r="F22" s="16"/>
      <c r="G22" s="99">
        <f t="shared" ref="G22" si="6">SUM(F22:F23)</f>
        <v>0</v>
      </c>
      <c r="H22" s="100" t="s">
        <v>134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5.6" x14ac:dyDescent="0.25">
      <c r="A23" s="98"/>
      <c r="B23" s="9"/>
      <c r="C23" s="6"/>
      <c r="D23" s="10"/>
      <c r="E23" s="8"/>
      <c r="F23" s="16"/>
      <c r="G23" s="99"/>
      <c r="H23" s="100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15.6" x14ac:dyDescent="0.25">
      <c r="A24" s="97">
        <v>9</v>
      </c>
      <c r="B24" s="9"/>
      <c r="C24" s="6"/>
      <c r="D24" s="10"/>
      <c r="E24" s="8"/>
      <c r="F24" s="16"/>
      <c r="G24" s="99">
        <f t="shared" ref="G24" si="7">SUM(F24:F25)</f>
        <v>0</v>
      </c>
      <c r="H24" s="100" t="s">
        <v>135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15.6" x14ac:dyDescent="0.25">
      <c r="A25" s="98"/>
      <c r="B25" s="9"/>
      <c r="C25" s="6"/>
      <c r="D25" s="10"/>
      <c r="E25" s="8"/>
      <c r="F25" s="16"/>
      <c r="G25" s="99"/>
      <c r="H25" s="100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5.6" x14ac:dyDescent="0.25">
      <c r="A26" s="97">
        <v>10</v>
      </c>
      <c r="B26" s="9"/>
      <c r="C26" s="6"/>
      <c r="D26" s="10"/>
      <c r="E26" s="8"/>
      <c r="F26" s="16"/>
      <c r="G26" s="99">
        <f t="shared" ref="G26" si="8">SUM(F26:F27)</f>
        <v>0</v>
      </c>
      <c r="H26" s="100" t="s">
        <v>136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5.6" x14ac:dyDescent="0.25">
      <c r="A27" s="98"/>
      <c r="B27" s="9"/>
      <c r="C27" s="6"/>
      <c r="D27" s="10"/>
      <c r="E27" s="8"/>
      <c r="F27" s="16"/>
      <c r="G27" s="99"/>
      <c r="H27" s="100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5.6" x14ac:dyDescent="0.25">
      <c r="A28" s="97">
        <v>11</v>
      </c>
      <c r="B28" s="9"/>
      <c r="C28" s="6"/>
      <c r="D28" s="10"/>
      <c r="E28" s="8"/>
      <c r="F28" s="16"/>
      <c r="G28" s="99">
        <f t="shared" ref="G28" si="9">SUM(F28:F29)</f>
        <v>0</v>
      </c>
      <c r="H28" s="100" t="s">
        <v>137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5.6" x14ac:dyDescent="0.25">
      <c r="A29" s="98"/>
      <c r="B29" s="9"/>
      <c r="C29" s="6"/>
      <c r="D29" s="10"/>
      <c r="E29" s="8"/>
      <c r="F29" s="16"/>
      <c r="G29" s="99"/>
      <c r="H29" s="100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5.6" x14ac:dyDescent="0.25">
      <c r="A30" s="97">
        <v>12</v>
      </c>
      <c r="B30" s="9"/>
      <c r="C30" s="6"/>
      <c r="D30" s="10"/>
      <c r="E30" s="8"/>
      <c r="F30" s="16"/>
      <c r="G30" s="99">
        <f t="shared" ref="G30" si="10">SUM(F30:F31)</f>
        <v>0</v>
      </c>
      <c r="H30" s="100" t="s">
        <v>138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5.6" x14ac:dyDescent="0.25">
      <c r="A31" s="98"/>
      <c r="B31" s="9"/>
      <c r="C31" s="6"/>
      <c r="D31" s="10"/>
      <c r="E31" s="8"/>
      <c r="F31" s="16"/>
      <c r="G31" s="99"/>
      <c r="H31" s="100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5.6" x14ac:dyDescent="0.25">
      <c r="A32" s="97">
        <v>13</v>
      </c>
      <c r="B32" s="9"/>
      <c r="C32" s="6"/>
      <c r="D32" s="10"/>
      <c r="E32" s="8"/>
      <c r="F32" s="16"/>
      <c r="G32" s="99">
        <f t="shared" ref="G32" si="11">SUM(F32:F33)</f>
        <v>0</v>
      </c>
      <c r="H32" s="100" t="s">
        <v>139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5.6" x14ac:dyDescent="0.25">
      <c r="A33" s="98"/>
      <c r="B33" s="9"/>
      <c r="C33" s="6"/>
      <c r="D33" s="10"/>
      <c r="E33" s="8"/>
      <c r="F33" s="16"/>
      <c r="G33" s="99"/>
      <c r="H33" s="100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5.6" x14ac:dyDescent="0.25">
      <c r="A34" s="97">
        <v>14</v>
      </c>
      <c r="B34" s="9"/>
      <c r="C34" s="6"/>
      <c r="D34" s="10"/>
      <c r="E34" s="8"/>
      <c r="F34" s="16"/>
      <c r="G34" s="99">
        <f t="shared" ref="G34" si="12">SUM(F34:F35)</f>
        <v>0</v>
      </c>
      <c r="H34" s="100" t="s">
        <v>140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5.6" x14ac:dyDescent="0.25">
      <c r="A35" s="98"/>
      <c r="B35" s="9"/>
      <c r="C35" s="6"/>
      <c r="D35" s="10"/>
      <c r="E35" s="8"/>
      <c r="F35" s="16"/>
      <c r="G35" s="99"/>
      <c r="H35" s="100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5.6" x14ac:dyDescent="0.25">
      <c r="A36" s="97">
        <v>15</v>
      </c>
      <c r="B36" s="9"/>
      <c r="C36" s="6"/>
      <c r="D36" s="10"/>
      <c r="E36" s="8"/>
      <c r="F36" s="16"/>
      <c r="G36" s="99">
        <f t="shared" ref="G36" si="13">SUM(F36:F37)</f>
        <v>0</v>
      </c>
      <c r="H36" s="100" t="s">
        <v>141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5.6" x14ac:dyDescent="0.25">
      <c r="A37" s="98"/>
      <c r="B37" s="9"/>
      <c r="C37" s="6"/>
      <c r="D37" s="10"/>
      <c r="E37" s="8"/>
      <c r="F37" s="16"/>
      <c r="G37" s="99"/>
      <c r="H37" s="100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5.6" x14ac:dyDescent="0.25">
      <c r="A38" s="97">
        <v>16</v>
      </c>
      <c r="B38" s="9"/>
      <c r="C38" s="6"/>
      <c r="D38" s="10"/>
      <c r="E38" s="8"/>
      <c r="F38" s="16"/>
      <c r="G38" s="99">
        <f t="shared" ref="G38" si="14">SUM(F38:F39)</f>
        <v>0</v>
      </c>
      <c r="H38" s="100" t="s">
        <v>142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5.6" x14ac:dyDescent="0.25">
      <c r="A39" s="98"/>
      <c r="B39" s="9"/>
      <c r="C39" s="6"/>
      <c r="D39" s="10"/>
      <c r="E39" s="8"/>
      <c r="F39" s="16"/>
      <c r="G39" s="99"/>
      <c r="H39" s="100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5.6" x14ac:dyDescent="0.25">
      <c r="A40" s="97">
        <v>17</v>
      </c>
      <c r="B40" s="9"/>
      <c r="C40" s="6"/>
      <c r="D40" s="10"/>
      <c r="E40" s="8"/>
      <c r="F40" s="16"/>
      <c r="G40" s="99">
        <f t="shared" ref="G40" si="15">SUM(F40:F41)</f>
        <v>0</v>
      </c>
      <c r="H40" s="100" t="s">
        <v>143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5.6" x14ac:dyDescent="0.25">
      <c r="A41" s="98"/>
      <c r="B41" s="9"/>
      <c r="C41" s="6"/>
      <c r="D41" s="10"/>
      <c r="E41" s="8"/>
      <c r="F41" s="16"/>
      <c r="G41" s="99"/>
      <c r="H41" s="100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5.6" x14ac:dyDescent="0.25">
      <c r="A42" s="97">
        <v>18</v>
      </c>
      <c r="B42" s="9"/>
      <c r="C42" s="6"/>
      <c r="D42" s="10"/>
      <c r="E42" s="8"/>
      <c r="F42" s="16"/>
      <c r="G42" s="99">
        <f t="shared" ref="G42" si="16">SUM(F42:F43)</f>
        <v>0</v>
      </c>
      <c r="H42" s="100" t="s">
        <v>144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5.6" x14ac:dyDescent="0.25">
      <c r="A43" s="98"/>
      <c r="B43" s="9"/>
      <c r="C43" s="6"/>
      <c r="D43" s="10"/>
      <c r="E43" s="8"/>
      <c r="F43" s="16"/>
      <c r="G43" s="99"/>
      <c r="H43" s="100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5.6" x14ac:dyDescent="0.25">
      <c r="A44" s="97">
        <v>19</v>
      </c>
      <c r="B44" s="9"/>
      <c r="C44" s="6"/>
      <c r="D44" s="10"/>
      <c r="E44" s="8"/>
      <c r="F44" s="16"/>
      <c r="G44" s="99">
        <f t="shared" ref="G44" si="17">SUM(F44:F45)</f>
        <v>0</v>
      </c>
      <c r="H44" s="100" t="s">
        <v>145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15.6" x14ac:dyDescent="0.25">
      <c r="A45" s="98"/>
      <c r="B45" s="9"/>
      <c r="C45" s="6"/>
      <c r="D45" s="10"/>
      <c r="E45" s="8"/>
      <c r="F45" s="16"/>
      <c r="G45" s="99"/>
      <c r="H45" s="100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15.6" x14ac:dyDescent="0.25">
      <c r="A46" s="97">
        <v>20</v>
      </c>
      <c r="B46" s="9"/>
      <c r="C46" s="6"/>
      <c r="D46" s="10"/>
      <c r="E46" s="8"/>
      <c r="F46" s="16"/>
      <c r="G46" s="99">
        <f t="shared" ref="G46" si="18">SUM(F46:F47)</f>
        <v>0</v>
      </c>
      <c r="H46" s="100" t="s">
        <v>146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15.6" x14ac:dyDescent="0.25">
      <c r="A47" s="98"/>
      <c r="B47" s="9"/>
      <c r="C47" s="6"/>
      <c r="D47" s="10"/>
      <c r="E47" s="8"/>
      <c r="F47" s="16"/>
      <c r="G47" s="99"/>
      <c r="H47" s="100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15.6" x14ac:dyDescent="0.25">
      <c r="A48" s="97">
        <v>21</v>
      </c>
      <c r="B48" s="9"/>
      <c r="C48" s="6"/>
      <c r="D48" s="10"/>
      <c r="E48" s="8"/>
      <c r="F48" s="16"/>
      <c r="G48" s="99">
        <f t="shared" ref="G48" si="19">SUM(F48:F49)</f>
        <v>0</v>
      </c>
      <c r="H48" s="100" t="s">
        <v>147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5.6" x14ac:dyDescent="0.25">
      <c r="A49" s="98"/>
      <c r="B49" s="9"/>
      <c r="C49" s="6"/>
      <c r="D49" s="10"/>
      <c r="E49" s="8"/>
      <c r="F49" s="16"/>
      <c r="G49" s="99"/>
      <c r="H49" s="100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15.6" x14ac:dyDescent="0.25">
      <c r="A50" s="97">
        <v>22</v>
      </c>
      <c r="B50" s="9"/>
      <c r="C50" s="6"/>
      <c r="D50" s="10"/>
      <c r="E50" s="8"/>
      <c r="F50" s="16"/>
      <c r="G50" s="99">
        <f t="shared" ref="G50" si="20">SUM(F50:F51)</f>
        <v>0</v>
      </c>
      <c r="H50" s="100" t="s">
        <v>148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15.6" x14ac:dyDescent="0.25">
      <c r="A51" s="98"/>
      <c r="B51" s="9"/>
      <c r="C51" s="6"/>
      <c r="D51" s="10"/>
      <c r="E51" s="8"/>
      <c r="F51" s="16"/>
      <c r="G51" s="99"/>
      <c r="H51" s="100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15.6" x14ac:dyDescent="0.25">
      <c r="A52" s="97">
        <v>23</v>
      </c>
      <c r="B52" s="9"/>
      <c r="C52" s="6"/>
      <c r="D52" s="10"/>
      <c r="E52" s="8"/>
      <c r="F52" s="16"/>
      <c r="G52" s="99">
        <f t="shared" ref="G52" si="21">SUM(F52:F53)</f>
        <v>0</v>
      </c>
      <c r="H52" s="100" t="s">
        <v>149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15.6" x14ac:dyDescent="0.25">
      <c r="A53" s="98"/>
      <c r="B53" s="9"/>
      <c r="C53" s="6"/>
      <c r="D53" s="10"/>
      <c r="E53" s="8"/>
      <c r="F53" s="16"/>
      <c r="G53" s="99"/>
      <c r="H53" s="100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15.6" x14ac:dyDescent="0.25">
      <c r="A54" s="97">
        <v>24</v>
      </c>
      <c r="B54" s="9"/>
      <c r="C54" s="6"/>
      <c r="D54" s="10"/>
      <c r="E54" s="8"/>
      <c r="F54" s="16"/>
      <c r="G54" s="99">
        <f t="shared" ref="G54" si="22">SUM(F54:F55)</f>
        <v>0</v>
      </c>
      <c r="H54" s="100" t="s">
        <v>150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15.6" x14ac:dyDescent="0.25">
      <c r="A55" s="98"/>
      <c r="B55" s="9"/>
      <c r="C55" s="6"/>
      <c r="D55" s="10"/>
      <c r="E55" s="8"/>
      <c r="F55" s="16"/>
      <c r="G55" s="99"/>
      <c r="H55" s="100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15.6" x14ac:dyDescent="0.25">
      <c r="A56" s="97">
        <v>25</v>
      </c>
      <c r="B56" s="9"/>
      <c r="C56" s="6"/>
      <c r="D56" s="10"/>
      <c r="E56" s="8"/>
      <c r="F56" s="16"/>
      <c r="G56" s="99">
        <f t="shared" ref="G56" si="23">SUM(F56:F57)</f>
        <v>0</v>
      </c>
      <c r="H56" s="100" t="s">
        <v>151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15.6" x14ac:dyDescent="0.25">
      <c r="A57" s="98"/>
      <c r="B57" s="9"/>
      <c r="C57" s="6"/>
      <c r="D57" s="10"/>
      <c r="E57" s="8"/>
      <c r="F57" s="16"/>
      <c r="G57" s="99"/>
      <c r="H57" s="100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15.6" x14ac:dyDescent="0.25">
      <c r="A58" s="97">
        <v>26</v>
      </c>
      <c r="B58" s="9"/>
      <c r="C58" s="6"/>
      <c r="D58" s="10"/>
      <c r="E58" s="8"/>
      <c r="F58" s="16"/>
      <c r="G58" s="99">
        <f t="shared" ref="G58" si="24">SUM(F58:F59)</f>
        <v>0</v>
      </c>
      <c r="H58" s="100" t="s">
        <v>152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15.6" x14ac:dyDescent="0.25">
      <c r="A59" s="98"/>
      <c r="B59" s="9"/>
      <c r="C59" s="6"/>
      <c r="D59" s="10"/>
      <c r="E59" s="8"/>
      <c r="F59" s="16"/>
      <c r="G59" s="99"/>
      <c r="H59" s="100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15.6" x14ac:dyDescent="0.25">
      <c r="A60" s="97">
        <v>27</v>
      </c>
      <c r="B60" s="9"/>
      <c r="C60" s="6"/>
      <c r="D60" s="10"/>
      <c r="E60" s="8"/>
      <c r="F60" s="16"/>
      <c r="G60" s="99">
        <f t="shared" ref="G60" si="25">SUM(F60:F61)</f>
        <v>0</v>
      </c>
      <c r="H60" s="100" t="s">
        <v>153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15.6" x14ac:dyDescent="0.25">
      <c r="A61" s="98"/>
      <c r="B61" s="9"/>
      <c r="C61" s="6"/>
      <c r="D61" s="10"/>
      <c r="E61" s="8"/>
      <c r="F61" s="16"/>
      <c r="G61" s="99"/>
      <c r="H61" s="100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15.6" x14ac:dyDescent="0.25">
      <c r="A62" s="97">
        <v>28</v>
      </c>
      <c r="B62" s="9"/>
      <c r="C62" s="6"/>
      <c r="D62" s="10"/>
      <c r="E62" s="8"/>
      <c r="F62" s="16"/>
      <c r="G62" s="99">
        <f t="shared" ref="G62" si="26">SUM(F62:F63)</f>
        <v>0</v>
      </c>
      <c r="H62" s="100" t="s">
        <v>154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15.6" x14ac:dyDescent="0.25">
      <c r="A63" s="98"/>
      <c r="B63" s="9"/>
      <c r="C63" s="6"/>
      <c r="D63" s="10"/>
      <c r="E63" s="8"/>
      <c r="F63" s="16"/>
      <c r="G63" s="99"/>
      <c r="H63" s="100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15.6" x14ac:dyDescent="0.25">
      <c r="A64" s="97">
        <v>29</v>
      </c>
      <c r="B64" s="9"/>
      <c r="C64" s="6"/>
      <c r="D64" s="10"/>
      <c r="E64" s="8"/>
      <c r="F64" s="16"/>
      <c r="G64" s="99">
        <f t="shared" ref="G64" si="27">SUM(F64:F65)</f>
        <v>0</v>
      </c>
      <c r="H64" s="100" t="s">
        <v>155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15.6" x14ac:dyDescent="0.25">
      <c r="A65" s="98"/>
      <c r="B65" s="9"/>
      <c r="C65" s="6"/>
      <c r="D65" s="10"/>
      <c r="E65" s="8"/>
      <c r="F65" s="16"/>
      <c r="G65" s="99"/>
      <c r="H65" s="100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15.6" x14ac:dyDescent="0.25">
      <c r="A66" s="97">
        <v>30</v>
      </c>
      <c r="B66" s="9"/>
      <c r="C66" s="6"/>
      <c r="D66" s="10"/>
      <c r="E66" s="8"/>
      <c r="F66" s="16"/>
      <c r="G66" s="99">
        <f t="shared" ref="G66" si="28">SUM(F66:F67)</f>
        <v>0</v>
      </c>
      <c r="H66" s="100" t="s">
        <v>156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15.6" x14ac:dyDescent="0.25">
      <c r="A67" s="98"/>
      <c r="B67" s="9"/>
      <c r="C67" s="6"/>
      <c r="D67" s="10"/>
      <c r="E67" s="8"/>
      <c r="F67" s="16"/>
      <c r="G67" s="99"/>
      <c r="H67" s="100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15.6" x14ac:dyDescent="0.25">
      <c r="A68" s="97">
        <v>31</v>
      </c>
      <c r="B68" s="9"/>
      <c r="C68" s="6"/>
      <c r="D68" s="10"/>
      <c r="E68" s="8"/>
      <c r="F68" s="16"/>
      <c r="G68" s="99">
        <f t="shared" ref="G68" si="29">SUM(F68:F69)</f>
        <v>0</v>
      </c>
      <c r="H68" s="100" t="s">
        <v>157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15.6" x14ac:dyDescent="0.25">
      <c r="A69" s="98"/>
      <c r="B69" s="9"/>
      <c r="C69" s="6"/>
      <c r="D69" s="10"/>
      <c r="E69" s="8"/>
      <c r="F69" s="16"/>
      <c r="G69" s="99"/>
      <c r="H69" s="100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15.6" x14ac:dyDescent="0.25">
      <c r="A70" s="97">
        <v>32</v>
      </c>
      <c r="B70" s="9"/>
      <c r="C70" s="6"/>
      <c r="D70" s="10"/>
      <c r="E70" s="8"/>
      <c r="F70" s="16"/>
      <c r="G70" s="99">
        <f t="shared" ref="G70" si="30">SUM(F70:F71)</f>
        <v>0</v>
      </c>
      <c r="H70" s="100" t="s">
        <v>158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15.6" x14ac:dyDescent="0.25">
      <c r="A71" s="98"/>
      <c r="B71" s="9"/>
      <c r="C71" s="6"/>
      <c r="D71" s="10"/>
      <c r="E71" s="8"/>
      <c r="F71" s="16"/>
      <c r="G71" s="99"/>
      <c r="H71" s="100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15.6" x14ac:dyDescent="0.25">
      <c r="A72" s="97">
        <v>33</v>
      </c>
      <c r="B72" s="9"/>
      <c r="C72" s="6"/>
      <c r="D72" s="10"/>
      <c r="E72" s="8"/>
      <c r="F72" s="16"/>
      <c r="G72" s="99">
        <f t="shared" ref="G72" si="31">SUM(F72:F73)</f>
        <v>0</v>
      </c>
      <c r="H72" s="100" t="s">
        <v>159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15.6" x14ac:dyDescent="0.25">
      <c r="A73" s="98"/>
      <c r="B73" s="9"/>
      <c r="C73" s="6"/>
      <c r="D73" s="10"/>
      <c r="E73" s="8"/>
      <c r="F73" s="16"/>
      <c r="G73" s="99"/>
      <c r="H73" s="100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15.6" x14ac:dyDescent="0.25">
      <c r="A74" s="97">
        <v>34</v>
      </c>
      <c r="B74" s="9"/>
      <c r="C74" s="6"/>
      <c r="D74" s="10"/>
      <c r="E74" s="8"/>
      <c r="F74" s="16"/>
      <c r="G74" s="99">
        <f t="shared" ref="G74" si="32">SUM(F74:F75)</f>
        <v>0</v>
      </c>
      <c r="H74" s="100" t="s">
        <v>160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15.6" x14ac:dyDescent="0.25">
      <c r="A75" s="98"/>
      <c r="B75" s="9"/>
      <c r="C75" s="6"/>
      <c r="D75" s="10"/>
      <c r="E75" s="8"/>
      <c r="F75" s="16"/>
      <c r="G75" s="99"/>
      <c r="H75" s="100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15.6" x14ac:dyDescent="0.25">
      <c r="A76" s="97">
        <v>35</v>
      </c>
      <c r="B76" s="9"/>
      <c r="C76" s="6"/>
      <c r="D76" s="10"/>
      <c r="E76" s="8"/>
      <c r="F76" s="16"/>
      <c r="G76" s="99">
        <f t="shared" ref="G76" si="33">SUM(F76:F77)</f>
        <v>0</v>
      </c>
      <c r="H76" s="100" t="s">
        <v>161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15.6" x14ac:dyDescent="0.25">
      <c r="A77" s="98"/>
      <c r="B77" s="9"/>
      <c r="C77" s="6"/>
      <c r="D77" s="10"/>
      <c r="E77" s="8"/>
      <c r="F77" s="16"/>
      <c r="G77" s="99"/>
      <c r="H77" s="100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15.6" x14ac:dyDescent="0.25">
      <c r="A78" s="97">
        <v>36</v>
      </c>
      <c r="B78" s="9"/>
      <c r="C78" s="6"/>
      <c r="D78" s="10"/>
      <c r="E78" s="8"/>
      <c r="F78" s="16"/>
      <c r="G78" s="99">
        <f t="shared" ref="G78" si="34">SUM(F78:F79)</f>
        <v>0</v>
      </c>
      <c r="H78" s="100" t="s">
        <v>162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15.6" x14ac:dyDescent="0.25">
      <c r="A79" s="98"/>
      <c r="B79" s="9"/>
      <c r="C79" s="6"/>
      <c r="D79" s="10"/>
      <c r="E79" s="8"/>
      <c r="F79" s="16"/>
      <c r="G79" s="99"/>
      <c r="H79" s="100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15.6" x14ac:dyDescent="0.25">
      <c r="A80" s="97">
        <v>37</v>
      </c>
      <c r="B80" s="9"/>
      <c r="C80" s="6"/>
      <c r="D80" s="10"/>
      <c r="E80" s="8"/>
      <c r="F80" s="16"/>
      <c r="G80" s="99">
        <f t="shared" ref="G80:G96" si="35">SUM(F80:F81)</f>
        <v>0</v>
      </c>
      <c r="H80" s="100" t="s">
        <v>163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15.6" x14ac:dyDescent="0.25">
      <c r="A81" s="98"/>
      <c r="B81" s="9"/>
      <c r="C81" s="6"/>
      <c r="D81" s="10"/>
      <c r="E81" s="8"/>
      <c r="F81" s="16"/>
      <c r="G81" s="99"/>
      <c r="H81" s="100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15.6" x14ac:dyDescent="0.25">
      <c r="A82" s="97">
        <v>38</v>
      </c>
      <c r="B82" s="9"/>
      <c r="C82" s="6"/>
      <c r="D82" s="10"/>
      <c r="E82" s="8"/>
      <c r="F82" s="16"/>
      <c r="G82" s="99">
        <f t="shared" ref="G82:G94" si="36">SUM(F82:F83)</f>
        <v>0</v>
      </c>
      <c r="H82" s="100" t="s">
        <v>164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15.6" x14ac:dyDescent="0.25">
      <c r="A83" s="98"/>
      <c r="B83" s="9"/>
      <c r="C83" s="6"/>
      <c r="D83" s="10"/>
      <c r="E83" s="8"/>
      <c r="F83" s="16"/>
      <c r="G83" s="99"/>
      <c r="H83" s="100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15.6" x14ac:dyDescent="0.25">
      <c r="A84" s="97">
        <v>39</v>
      </c>
      <c r="B84" s="9"/>
      <c r="C84" s="6"/>
      <c r="D84" s="10"/>
      <c r="E84" s="8"/>
      <c r="F84" s="16"/>
      <c r="G84" s="99">
        <f t="shared" si="35"/>
        <v>0</v>
      </c>
      <c r="H84" s="100" t="s">
        <v>165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15.6" x14ac:dyDescent="0.25">
      <c r="A85" s="98"/>
      <c r="B85" s="9"/>
      <c r="C85" s="6"/>
      <c r="D85" s="10"/>
      <c r="E85" s="8"/>
      <c r="F85" s="16"/>
      <c r="G85" s="99"/>
      <c r="H85" s="100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15.6" x14ac:dyDescent="0.25">
      <c r="A86" s="97">
        <v>40</v>
      </c>
      <c r="B86" s="9"/>
      <c r="C86" s="6"/>
      <c r="D86" s="10"/>
      <c r="E86" s="8"/>
      <c r="F86" s="16"/>
      <c r="G86" s="99">
        <f t="shared" si="36"/>
        <v>0</v>
      </c>
      <c r="H86" s="100" t="s">
        <v>166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15.6" x14ac:dyDescent="0.25">
      <c r="A87" s="98"/>
      <c r="B87" s="9"/>
      <c r="C87" s="6"/>
      <c r="D87" s="10"/>
      <c r="E87" s="8"/>
      <c r="F87" s="16"/>
      <c r="G87" s="99"/>
      <c r="H87" s="100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15.6" x14ac:dyDescent="0.25">
      <c r="A88" s="97">
        <v>41</v>
      </c>
      <c r="B88" s="9"/>
      <c r="C88" s="6"/>
      <c r="D88" s="10"/>
      <c r="E88" s="8"/>
      <c r="F88" s="16"/>
      <c r="G88" s="99">
        <f t="shared" si="35"/>
        <v>0</v>
      </c>
      <c r="H88" s="100" t="s">
        <v>167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15.6" x14ac:dyDescent="0.25">
      <c r="A89" s="98"/>
      <c r="B89" s="9"/>
      <c r="C89" s="6"/>
      <c r="D89" s="10"/>
      <c r="E89" s="8"/>
      <c r="F89" s="16"/>
      <c r="G89" s="99"/>
      <c r="H89" s="100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15.6" x14ac:dyDescent="0.25">
      <c r="A90" s="97">
        <v>42</v>
      </c>
      <c r="B90" s="9"/>
      <c r="C90" s="6"/>
      <c r="D90" s="10"/>
      <c r="E90" s="8"/>
      <c r="F90" s="16"/>
      <c r="G90" s="99">
        <f t="shared" si="36"/>
        <v>0</v>
      </c>
      <c r="H90" s="100" t="s">
        <v>168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15.6" x14ac:dyDescent="0.25">
      <c r="A91" s="98"/>
      <c r="B91" s="9"/>
      <c r="C91" s="6"/>
      <c r="D91" s="10"/>
      <c r="E91" s="8"/>
      <c r="F91" s="16"/>
      <c r="G91" s="99"/>
      <c r="H91" s="100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15.6" x14ac:dyDescent="0.25">
      <c r="A92" s="97">
        <v>43</v>
      </c>
      <c r="B92" s="9"/>
      <c r="C92" s="6"/>
      <c r="D92" s="10"/>
      <c r="E92" s="8"/>
      <c r="F92" s="16"/>
      <c r="G92" s="99">
        <f t="shared" si="35"/>
        <v>0</v>
      </c>
      <c r="H92" s="100" t="s">
        <v>169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15.6" x14ac:dyDescent="0.25">
      <c r="A93" s="98"/>
      <c r="B93" s="9"/>
      <c r="C93" s="6"/>
      <c r="D93" s="10"/>
      <c r="E93" s="8"/>
      <c r="F93" s="16"/>
      <c r="G93" s="99"/>
      <c r="H93" s="100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15.6" x14ac:dyDescent="0.25">
      <c r="A94" s="97">
        <v>44</v>
      </c>
      <c r="B94" s="9"/>
      <c r="C94" s="6"/>
      <c r="D94" s="10"/>
      <c r="E94" s="8"/>
      <c r="F94" s="16"/>
      <c r="G94" s="99">
        <f t="shared" si="36"/>
        <v>0</v>
      </c>
      <c r="H94" s="100" t="s">
        <v>170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15.6" x14ac:dyDescent="0.25">
      <c r="A95" s="98"/>
      <c r="B95" s="9"/>
      <c r="C95" s="6"/>
      <c r="D95" s="10"/>
      <c r="E95" s="8"/>
      <c r="F95" s="16"/>
      <c r="G95" s="99"/>
      <c r="H95" s="100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15.6" x14ac:dyDescent="0.25">
      <c r="A96" s="97">
        <v>45</v>
      </c>
      <c r="B96" s="9"/>
      <c r="C96" s="6"/>
      <c r="D96" s="10"/>
      <c r="E96" s="8"/>
      <c r="F96" s="16"/>
      <c r="G96" s="99">
        <f t="shared" si="35"/>
        <v>0</v>
      </c>
      <c r="H96" s="100" t="s">
        <v>172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15.6" x14ac:dyDescent="0.25">
      <c r="A97" s="98"/>
      <c r="B97" s="9"/>
      <c r="C97" s="6"/>
      <c r="D97" s="10"/>
      <c r="E97" s="8"/>
      <c r="F97" s="16"/>
      <c r="G97" s="99"/>
      <c r="H97" s="100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15.6" x14ac:dyDescent="0.25">
      <c r="A98" s="97">
        <v>46</v>
      </c>
      <c r="B98" s="9"/>
      <c r="C98" s="6"/>
      <c r="D98" s="10"/>
      <c r="E98" s="8"/>
      <c r="F98" s="16"/>
      <c r="G98" s="99">
        <f t="shared" ref="G98" si="37">SUM(F98:F99)</f>
        <v>0</v>
      </c>
      <c r="H98" s="122" t="s">
        <v>170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15.6" x14ac:dyDescent="0.25">
      <c r="A99" s="98"/>
      <c r="B99" s="9"/>
      <c r="C99" s="6"/>
      <c r="D99" s="10"/>
      <c r="E99" s="8"/>
      <c r="F99" s="16"/>
      <c r="G99" s="99"/>
      <c r="H99" s="124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15.6" x14ac:dyDescent="0.25">
      <c r="A100" s="97">
        <v>47</v>
      </c>
      <c r="B100" s="9"/>
      <c r="C100" s="6"/>
      <c r="D100" s="10"/>
      <c r="E100" s="8"/>
      <c r="F100" s="16"/>
      <c r="G100" s="99">
        <f t="shared" ref="G100" si="38">SUM(F100:F101)</f>
        <v>0</v>
      </c>
      <c r="H100" s="122" t="s">
        <v>169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15.6" x14ac:dyDescent="0.25">
      <c r="A101" s="98"/>
      <c r="B101" s="9"/>
      <c r="C101" s="6"/>
      <c r="D101" s="10"/>
      <c r="E101" s="8"/>
      <c r="F101" s="16"/>
      <c r="G101" s="99"/>
      <c r="H101" s="124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15.6" x14ac:dyDescent="0.25">
      <c r="A102" s="97">
        <v>48</v>
      </c>
      <c r="B102" s="9"/>
      <c r="C102" s="6"/>
      <c r="D102" s="10"/>
      <c r="E102" s="8"/>
      <c r="F102" s="16"/>
      <c r="G102" s="99">
        <f t="shared" ref="G102" si="39">SUM(F102:F103)</f>
        <v>0</v>
      </c>
      <c r="H102" s="122" t="s">
        <v>670</v>
      </c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15.6" x14ac:dyDescent="0.25">
      <c r="A103" s="98"/>
      <c r="B103" s="9"/>
      <c r="C103" s="6"/>
      <c r="D103" s="10"/>
      <c r="E103" s="8"/>
      <c r="F103" s="16"/>
      <c r="G103" s="99"/>
      <c r="H103" s="124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15.6" x14ac:dyDescent="0.25">
      <c r="A104" s="97">
        <v>49</v>
      </c>
      <c r="B104" s="9"/>
      <c r="C104" s="6"/>
      <c r="D104" s="10"/>
      <c r="E104" s="8"/>
      <c r="F104" s="16"/>
      <c r="G104" s="99">
        <f t="shared" ref="G104" si="40">SUM(F104:F105)</f>
        <v>0</v>
      </c>
      <c r="H104" s="122" t="s">
        <v>167</v>
      </c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15.6" x14ac:dyDescent="0.25">
      <c r="A105" s="98"/>
      <c r="B105" s="9"/>
      <c r="C105" s="6"/>
      <c r="D105" s="10"/>
      <c r="E105" s="8"/>
      <c r="F105" s="16"/>
      <c r="G105" s="99"/>
      <c r="H105" s="124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15.6" x14ac:dyDescent="0.25">
      <c r="A106" s="97">
        <v>50</v>
      </c>
      <c r="B106" s="9"/>
      <c r="C106" s="6"/>
      <c r="D106" s="10"/>
      <c r="E106" s="8"/>
      <c r="F106" s="16"/>
      <c r="G106" s="99">
        <f t="shared" ref="G106:G122" si="41">SUM(F106:F107)</f>
        <v>0</v>
      </c>
      <c r="H106" s="122" t="s">
        <v>166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15.6" x14ac:dyDescent="0.25">
      <c r="A107" s="98"/>
      <c r="B107" s="9"/>
      <c r="C107" s="6"/>
      <c r="D107" s="10"/>
      <c r="E107" s="8"/>
      <c r="F107" s="16"/>
      <c r="G107" s="99"/>
      <c r="H107" s="124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15.6" x14ac:dyDescent="0.25">
      <c r="A108" s="97">
        <v>51</v>
      </c>
      <c r="B108" s="9"/>
      <c r="C108" s="6"/>
      <c r="D108" s="10"/>
      <c r="E108" s="8"/>
      <c r="F108" s="16"/>
      <c r="G108" s="99">
        <f t="shared" ref="G108:G120" si="42">SUM(F108:F109)</f>
        <v>0</v>
      </c>
      <c r="H108" s="122" t="s">
        <v>165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15.6" x14ac:dyDescent="0.25">
      <c r="A109" s="98"/>
      <c r="B109" s="9"/>
      <c r="C109" s="6"/>
      <c r="D109" s="10"/>
      <c r="E109" s="8"/>
      <c r="F109" s="16"/>
      <c r="G109" s="99"/>
      <c r="H109" s="124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15.6" x14ac:dyDescent="0.25">
      <c r="A110" s="97">
        <v>52</v>
      </c>
      <c r="B110" s="9"/>
      <c r="C110" s="6"/>
      <c r="D110" s="10"/>
      <c r="E110" s="8"/>
      <c r="F110" s="16"/>
      <c r="G110" s="99">
        <f t="shared" si="41"/>
        <v>0</v>
      </c>
      <c r="H110" s="122" t="s">
        <v>671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15.6" x14ac:dyDescent="0.25">
      <c r="A111" s="98"/>
      <c r="B111" s="9"/>
      <c r="C111" s="6"/>
      <c r="D111" s="10"/>
      <c r="E111" s="8"/>
      <c r="F111" s="16"/>
      <c r="G111" s="99"/>
      <c r="H111" s="124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15.6" x14ac:dyDescent="0.25">
      <c r="A112" s="97">
        <v>53</v>
      </c>
      <c r="B112" s="9"/>
      <c r="C112" s="6"/>
      <c r="D112" s="10"/>
      <c r="E112" s="8"/>
      <c r="F112" s="16"/>
      <c r="G112" s="99">
        <f t="shared" si="42"/>
        <v>0</v>
      </c>
      <c r="H112" s="122" t="s">
        <v>163</v>
      </c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15.6" x14ac:dyDescent="0.25">
      <c r="A113" s="98"/>
      <c r="B113" s="9"/>
      <c r="C113" s="6"/>
      <c r="D113" s="10"/>
      <c r="E113" s="8"/>
      <c r="F113" s="16"/>
      <c r="G113" s="99"/>
      <c r="H113" s="124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15.6" x14ac:dyDescent="0.25">
      <c r="A114" s="97">
        <v>54</v>
      </c>
      <c r="B114" s="9"/>
      <c r="C114" s="6"/>
      <c r="D114" s="10"/>
      <c r="E114" s="8"/>
      <c r="F114" s="16"/>
      <c r="G114" s="99">
        <f t="shared" si="41"/>
        <v>0</v>
      </c>
      <c r="H114" s="122" t="s">
        <v>672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15.6" x14ac:dyDescent="0.25">
      <c r="A115" s="98"/>
      <c r="B115" s="9"/>
      <c r="C115" s="6"/>
      <c r="D115" s="10"/>
      <c r="E115" s="8"/>
      <c r="F115" s="16"/>
      <c r="G115" s="99"/>
      <c r="H115" s="124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15.6" x14ac:dyDescent="0.25">
      <c r="A116" s="97">
        <v>55</v>
      </c>
      <c r="B116" s="9"/>
      <c r="C116" s="6"/>
      <c r="D116" s="10"/>
      <c r="E116" s="8"/>
      <c r="F116" s="16"/>
      <c r="G116" s="99">
        <f t="shared" si="42"/>
        <v>0</v>
      </c>
      <c r="H116" s="122" t="s">
        <v>673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15.6" x14ac:dyDescent="0.25">
      <c r="A117" s="98"/>
      <c r="B117" s="9"/>
      <c r="C117" s="6"/>
      <c r="D117" s="10"/>
      <c r="E117" s="8"/>
      <c r="F117" s="16"/>
      <c r="G117" s="99"/>
      <c r="H117" s="124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15.6" x14ac:dyDescent="0.25">
      <c r="A118" s="97">
        <v>56</v>
      </c>
      <c r="B118" s="9"/>
      <c r="C118" s="6"/>
      <c r="D118" s="10"/>
      <c r="E118" s="8"/>
      <c r="F118" s="16"/>
      <c r="G118" s="99">
        <f t="shared" si="41"/>
        <v>0</v>
      </c>
      <c r="H118" s="122" t="s">
        <v>674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15.6" x14ac:dyDescent="0.25">
      <c r="A119" s="98"/>
      <c r="B119" s="9"/>
      <c r="C119" s="6"/>
      <c r="D119" s="10"/>
      <c r="E119" s="8"/>
      <c r="F119" s="16"/>
      <c r="G119" s="99"/>
      <c r="H119" s="124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15.6" x14ac:dyDescent="0.25">
      <c r="A120" s="97">
        <v>57</v>
      </c>
      <c r="B120" s="9"/>
      <c r="C120" s="6"/>
      <c r="D120" s="10"/>
      <c r="E120" s="8"/>
      <c r="F120" s="16"/>
      <c r="G120" s="99">
        <f t="shared" si="42"/>
        <v>0</v>
      </c>
      <c r="H120" s="122" t="s">
        <v>675</v>
      </c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15.6" x14ac:dyDescent="0.25">
      <c r="A121" s="98"/>
      <c r="B121" s="9"/>
      <c r="C121" s="6"/>
      <c r="D121" s="10"/>
      <c r="E121" s="8"/>
      <c r="F121" s="16"/>
      <c r="G121" s="99"/>
      <c r="H121" s="124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15.6" x14ac:dyDescent="0.25">
      <c r="A122" s="97">
        <v>58</v>
      </c>
      <c r="B122" s="9"/>
      <c r="C122" s="6"/>
      <c r="D122" s="10"/>
      <c r="E122" s="8"/>
      <c r="F122" s="16"/>
      <c r="G122" s="99">
        <f t="shared" si="41"/>
        <v>0</v>
      </c>
      <c r="H122" s="122" t="s">
        <v>676</v>
      </c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15.6" x14ac:dyDescent="0.25">
      <c r="A123" s="98"/>
      <c r="B123" s="9"/>
      <c r="C123" s="6"/>
      <c r="D123" s="10"/>
      <c r="E123" s="8"/>
      <c r="F123" s="16"/>
      <c r="G123" s="99"/>
      <c r="H123" s="124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15.6" x14ac:dyDescent="0.25">
      <c r="A124" s="97">
        <v>59</v>
      </c>
      <c r="B124" s="9"/>
      <c r="C124" s="6"/>
      <c r="D124" s="10"/>
      <c r="E124" s="8"/>
      <c r="F124" s="16"/>
      <c r="G124" s="99">
        <f t="shared" ref="G124:G132" si="43">SUM(F124:F125)</f>
        <v>0</v>
      </c>
      <c r="H124" s="122" t="s">
        <v>677</v>
      </c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15.6" x14ac:dyDescent="0.25">
      <c r="A125" s="98"/>
      <c r="B125" s="9"/>
      <c r="C125" s="6"/>
      <c r="D125" s="10"/>
      <c r="E125" s="8"/>
      <c r="F125" s="16"/>
      <c r="G125" s="99"/>
      <c r="H125" s="124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15.6" x14ac:dyDescent="0.25">
      <c r="A126" s="97">
        <v>60</v>
      </c>
      <c r="B126" s="9"/>
      <c r="C126" s="6"/>
      <c r="D126" s="10"/>
      <c r="E126" s="8"/>
      <c r="F126" s="16"/>
      <c r="G126" s="99">
        <f t="shared" ref="G126:G130" si="44">SUM(F126:F127)</f>
        <v>0</v>
      </c>
      <c r="H126" s="122" t="s">
        <v>678</v>
      </c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15.6" x14ac:dyDescent="0.25">
      <c r="A127" s="98"/>
      <c r="B127" s="9"/>
      <c r="C127" s="6"/>
      <c r="D127" s="10"/>
      <c r="E127" s="8"/>
      <c r="F127" s="16"/>
      <c r="G127" s="99"/>
      <c r="H127" s="124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15.6" x14ac:dyDescent="0.25">
      <c r="A128" s="97">
        <v>61</v>
      </c>
      <c r="B128" s="9"/>
      <c r="C128" s="6"/>
      <c r="D128" s="10"/>
      <c r="E128" s="8"/>
      <c r="F128" s="16"/>
      <c r="G128" s="99">
        <f t="shared" si="43"/>
        <v>0</v>
      </c>
      <c r="H128" s="122" t="s">
        <v>679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15.6" x14ac:dyDescent="0.25">
      <c r="A129" s="98"/>
      <c r="B129" s="9"/>
      <c r="C129" s="6"/>
      <c r="D129" s="10"/>
      <c r="E129" s="8"/>
      <c r="F129" s="16"/>
      <c r="G129" s="99"/>
      <c r="H129" s="124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15.6" x14ac:dyDescent="0.25">
      <c r="A130" s="97">
        <v>62</v>
      </c>
      <c r="B130" s="9"/>
      <c r="C130" s="6"/>
      <c r="D130" s="10"/>
      <c r="E130" s="8"/>
      <c r="F130" s="16"/>
      <c r="G130" s="99">
        <f t="shared" si="44"/>
        <v>0</v>
      </c>
      <c r="H130" s="122" t="s">
        <v>680</v>
      </c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15.6" x14ac:dyDescent="0.25">
      <c r="A131" s="98"/>
      <c r="B131" s="9"/>
      <c r="C131" s="6"/>
      <c r="D131" s="10"/>
      <c r="E131" s="8"/>
      <c r="F131" s="16"/>
      <c r="G131" s="99"/>
      <c r="H131" s="124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15.6" x14ac:dyDescent="0.25">
      <c r="A132" s="97">
        <v>63</v>
      </c>
      <c r="B132" s="9"/>
      <c r="C132" s="6"/>
      <c r="D132" s="10"/>
      <c r="E132" s="8"/>
      <c r="F132" s="16"/>
      <c r="G132" s="99">
        <f t="shared" si="43"/>
        <v>0</v>
      </c>
      <c r="H132" s="122" t="s">
        <v>681</v>
      </c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15.6" x14ac:dyDescent="0.25">
      <c r="A133" s="98"/>
      <c r="B133" s="9"/>
      <c r="C133" s="6"/>
      <c r="D133" s="10"/>
      <c r="E133" s="8"/>
      <c r="F133" s="16"/>
      <c r="G133" s="99"/>
      <c r="H133" s="124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15.75" customHeight="1" x14ac:dyDescent="0.3">
      <c r="A134" s="101" t="s">
        <v>15</v>
      </c>
      <c r="B134" s="101"/>
      <c r="C134" s="101"/>
      <c r="D134" s="101"/>
      <c r="E134" s="101"/>
      <c r="F134" s="24"/>
      <c r="G134" s="17"/>
      <c r="H134" s="18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5.75" customHeight="1" x14ac:dyDescent="0.3">
      <c r="A135" s="102"/>
      <c r="B135" s="103"/>
      <c r="C135" s="103"/>
      <c r="D135" s="103"/>
      <c r="E135" s="103"/>
      <c r="F135" s="104"/>
      <c r="G135" s="104"/>
      <c r="H135" s="10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5.75" customHeight="1" x14ac:dyDescent="0.3">
      <c r="A136" s="106" t="s">
        <v>16</v>
      </c>
      <c r="B136" s="107"/>
      <c r="C136" s="107"/>
      <c r="D136" s="107"/>
      <c r="E136" s="107"/>
      <c r="F136" s="107"/>
      <c r="G136" s="107"/>
      <c r="H136" s="108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5.75" customHeight="1" x14ac:dyDescent="0.3">
      <c r="A137" s="106" t="s">
        <v>70</v>
      </c>
      <c r="B137" s="107"/>
      <c r="C137" s="107"/>
      <c r="D137" s="107"/>
      <c r="E137" s="107"/>
      <c r="F137" s="107"/>
      <c r="G137" s="107"/>
      <c r="H137" s="108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5.75" customHeight="1" x14ac:dyDescent="0.3">
      <c r="A138" s="109"/>
      <c r="B138" s="110"/>
      <c r="C138" s="110"/>
      <c r="D138" s="110"/>
      <c r="E138" s="110"/>
      <c r="F138" s="110"/>
      <c r="G138" s="110"/>
      <c r="H138" s="111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5.75" customHeight="1" x14ac:dyDescent="0.3">
      <c r="A139" s="22"/>
      <c r="B139" s="25"/>
      <c r="C139" s="25"/>
      <c r="D139" s="25"/>
      <c r="E139" s="25"/>
      <c r="F139" s="25"/>
      <c r="G139" s="25"/>
      <c r="H139" s="23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5.75" customHeight="1" x14ac:dyDescent="0.3">
      <c r="A140" s="83" t="s">
        <v>17</v>
      </c>
      <c r="B140" s="84"/>
      <c r="C140" s="84"/>
      <c r="D140" s="84"/>
      <c r="E140" s="84"/>
      <c r="F140" s="84"/>
      <c r="G140" s="84"/>
      <c r="H140" s="8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5.75" customHeight="1" x14ac:dyDescent="0.3">
      <c r="A141" s="86"/>
      <c r="B141" s="87"/>
      <c r="C141" s="87"/>
      <c r="D141" s="87"/>
      <c r="E141" s="87"/>
      <c r="F141" s="87"/>
      <c r="G141" s="87"/>
      <c r="H141" s="88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5.75" customHeight="1" x14ac:dyDescent="0.3">
      <c r="A142" s="12"/>
      <c r="B142" s="12"/>
      <c r="C142" s="12"/>
      <c r="D142" s="12"/>
      <c r="E142" s="12"/>
      <c r="F142" s="12"/>
      <c r="G142" s="12"/>
      <c r="H142" s="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5.75" customHeight="1" x14ac:dyDescent="0.3">
      <c r="A143" s="12"/>
      <c r="B143" s="12"/>
      <c r="C143" s="12"/>
      <c r="D143" s="12"/>
      <c r="E143" s="12"/>
      <c r="F143" s="12"/>
      <c r="G143" s="12"/>
      <c r="H143" s="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5.75" customHeight="1" x14ac:dyDescent="0.3">
      <c r="A144" s="12"/>
      <c r="B144" s="12"/>
      <c r="C144" s="12"/>
      <c r="D144" s="12"/>
      <c r="E144" s="12"/>
      <c r="F144" s="12"/>
      <c r="G144" s="12"/>
      <c r="H144" s="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5.75" customHeight="1" x14ac:dyDescent="0.3">
      <c r="A145" s="12"/>
      <c r="B145" s="12"/>
      <c r="C145" s="12"/>
      <c r="D145" s="12"/>
      <c r="E145" s="12"/>
      <c r="F145" s="12"/>
      <c r="G145" s="12"/>
      <c r="H145" s="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5.75" customHeight="1" x14ac:dyDescent="0.3">
      <c r="A146" s="12"/>
      <c r="B146" s="12"/>
      <c r="C146" s="12"/>
      <c r="D146" s="12"/>
      <c r="E146" s="12"/>
      <c r="F146" s="12"/>
      <c r="G146" s="12"/>
      <c r="H146" s="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5.75" customHeight="1" x14ac:dyDescent="0.3">
      <c r="A147" s="12"/>
      <c r="B147" s="12"/>
      <c r="C147" s="12"/>
      <c r="D147" s="12"/>
      <c r="E147" s="12"/>
      <c r="F147" s="12"/>
      <c r="G147" s="12"/>
      <c r="H147" s="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5.75" customHeight="1" x14ac:dyDescent="0.3">
      <c r="A148" s="12"/>
      <c r="B148" s="12"/>
      <c r="C148" s="12"/>
      <c r="D148" s="12"/>
      <c r="E148" s="12"/>
      <c r="F148" s="12"/>
      <c r="G148" s="12"/>
      <c r="H148" s="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5.75" customHeight="1" x14ac:dyDescent="0.3">
      <c r="A149" s="12"/>
      <c r="B149" s="12"/>
      <c r="C149" s="12"/>
      <c r="D149" s="12"/>
      <c r="E149" s="12"/>
      <c r="F149" s="12"/>
      <c r="G149" s="12"/>
      <c r="H149" s="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5.75" customHeight="1" x14ac:dyDescent="0.3">
      <c r="A150" s="12"/>
      <c r="B150" s="12"/>
      <c r="C150" s="12"/>
      <c r="D150" s="12"/>
      <c r="E150" s="12"/>
      <c r="F150" s="12"/>
      <c r="G150" s="12"/>
      <c r="H150" s="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5.75" customHeight="1" x14ac:dyDescent="0.3">
      <c r="A151" s="12"/>
      <c r="B151" s="12"/>
      <c r="C151" s="12"/>
      <c r="D151" s="12"/>
      <c r="E151" s="12"/>
      <c r="F151" s="12"/>
      <c r="G151" s="12"/>
      <c r="H151" s="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5.75" customHeight="1" x14ac:dyDescent="0.3">
      <c r="A152" s="12"/>
      <c r="B152" s="12"/>
      <c r="C152" s="12"/>
      <c r="D152" s="12"/>
      <c r="E152" s="12"/>
      <c r="F152" s="12"/>
      <c r="G152" s="12"/>
      <c r="H152" s="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5.75" customHeight="1" x14ac:dyDescent="0.3">
      <c r="A153" s="12"/>
      <c r="B153" s="12"/>
      <c r="C153" s="12"/>
      <c r="D153" s="12"/>
      <c r="E153" s="12"/>
      <c r="F153" s="12"/>
      <c r="G153" s="12"/>
      <c r="H153" s="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5.75" customHeight="1" x14ac:dyDescent="0.3">
      <c r="A154" s="12"/>
      <c r="B154" s="12"/>
      <c r="C154" s="12"/>
      <c r="D154" s="12"/>
      <c r="E154" s="12"/>
      <c r="F154" s="12"/>
      <c r="G154" s="12"/>
      <c r="H154" s="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5.75" customHeight="1" x14ac:dyDescent="0.3">
      <c r="A155" s="12"/>
      <c r="B155" s="12"/>
      <c r="C155" s="12"/>
      <c r="D155" s="12"/>
      <c r="E155" s="12"/>
      <c r="F155" s="12"/>
      <c r="G155" s="12"/>
      <c r="H155" s="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5.75" customHeight="1" x14ac:dyDescent="0.3">
      <c r="A156" s="12"/>
      <c r="B156" s="12"/>
      <c r="C156" s="12"/>
      <c r="D156" s="12"/>
      <c r="E156" s="12"/>
      <c r="F156" s="12"/>
      <c r="G156" s="12"/>
      <c r="H156" s="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5.7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5.7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5.7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5.7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5.7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5.7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5.7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5.7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5.7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5.7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5.7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5.7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5.7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5.7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5.7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5.7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5.7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5.7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5.7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5.7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5.7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5.7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5.7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5.7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5.7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5.7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5.7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5.7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5.7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5.7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5.7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5.7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5.7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5.7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5.7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5.7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5.7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5.7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5.75" customHeight="1" x14ac:dyDescent="0.3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5.75" customHeight="1" x14ac:dyDescent="0.3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5.75" customHeight="1" x14ac:dyDescent="0.3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5.75" customHeight="1" x14ac:dyDescent="0.3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5.75" customHeight="1" x14ac:dyDescent="0.3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5.75" customHeight="1" x14ac:dyDescent="0.3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5.75" customHeight="1" x14ac:dyDescent="0.3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5.75" customHeight="1" x14ac:dyDescent="0.3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5.75" customHeight="1" x14ac:dyDescent="0.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5.75" customHeight="1" x14ac:dyDescent="0.3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5.75" customHeight="1" x14ac:dyDescent="0.3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5.75" customHeight="1" x14ac:dyDescent="0.3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5.75" customHeight="1" x14ac:dyDescent="0.3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5.75" customHeight="1" x14ac:dyDescent="0.3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5.75" customHeight="1" x14ac:dyDescent="0.3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5.75" customHeight="1" x14ac:dyDescent="0.3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5.75" customHeight="1" x14ac:dyDescent="0.3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5.75" customHeight="1" x14ac:dyDescent="0.3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5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5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5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5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5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5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5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5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5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5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5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5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5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5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5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5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5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5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5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5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5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5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5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5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5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5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5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5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5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5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5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5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5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5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5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5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5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5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5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5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5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5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5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5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5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5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5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5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5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5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5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5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5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5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5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5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5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5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5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5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5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5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5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5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5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5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5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5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5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5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5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5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5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5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5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5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5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5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5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5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5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5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5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5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5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5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5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5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5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5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5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5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5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5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5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5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5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5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5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5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5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5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5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5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5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5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5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5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5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5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5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5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5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5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5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5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5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5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5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5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5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5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5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5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5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5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5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5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5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5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5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5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5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5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5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5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5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5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5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5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5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5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5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5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5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5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5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5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5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5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5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5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5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5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5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5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5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5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5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5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5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5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5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5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5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5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5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5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5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5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5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5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5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5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5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5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5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5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5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5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5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5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5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5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5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5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5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5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5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5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5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5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5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5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5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5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5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5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5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5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5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5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5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5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5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5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5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5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5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5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5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5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5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5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5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5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5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5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5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5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5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5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5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5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5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5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5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5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5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5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5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5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5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5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5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5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5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5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5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5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5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5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5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5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5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5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5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5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5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5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5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5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5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5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5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5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5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5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5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5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5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5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5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5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5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5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5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5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5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5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5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5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5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5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5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5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5.75" customHeight="1" x14ac:dyDescent="0.3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5.75" customHeight="1" x14ac:dyDescent="0.3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5.75" customHeight="1" x14ac:dyDescent="0.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5.75" customHeight="1" x14ac:dyDescent="0.3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5.75" customHeight="1" x14ac:dyDescent="0.3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5.75" customHeight="1" x14ac:dyDescent="0.3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5.75" customHeight="1" x14ac:dyDescent="0.3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5.75" customHeight="1" x14ac:dyDescent="0.3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5.75" customHeight="1" x14ac:dyDescent="0.3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5.75" customHeight="1" x14ac:dyDescent="0.3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5.75" customHeight="1" x14ac:dyDescent="0.3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5.75" customHeight="1" x14ac:dyDescent="0.3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5.75" customHeight="1" x14ac:dyDescent="0.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5.75" customHeight="1" x14ac:dyDescent="0.3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5.75" customHeight="1" x14ac:dyDescent="0.3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5.75" customHeight="1" x14ac:dyDescent="0.3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5.75" customHeight="1" x14ac:dyDescent="0.3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5.75" customHeight="1" x14ac:dyDescent="0.3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5.75" customHeight="1" x14ac:dyDescent="0.3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5.75" customHeight="1" x14ac:dyDescent="0.3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5.75" customHeight="1" x14ac:dyDescent="0.3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5.75" customHeight="1" x14ac:dyDescent="0.3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5.75" customHeight="1" x14ac:dyDescent="0.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5.75" customHeight="1" x14ac:dyDescent="0.3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5.75" customHeight="1" x14ac:dyDescent="0.3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5.75" customHeight="1" x14ac:dyDescent="0.3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5.75" customHeight="1" x14ac:dyDescent="0.3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5.75" customHeight="1" x14ac:dyDescent="0.3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5.75" customHeight="1" x14ac:dyDescent="0.3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5.75" customHeight="1" x14ac:dyDescent="0.3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5.75" customHeight="1" x14ac:dyDescent="0.3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5.75" customHeight="1" x14ac:dyDescent="0.3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5.75" customHeight="1" x14ac:dyDescent="0.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5.75" customHeight="1" x14ac:dyDescent="0.3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5.75" customHeight="1" x14ac:dyDescent="0.3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5.75" customHeight="1" x14ac:dyDescent="0.3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5.75" customHeight="1" x14ac:dyDescent="0.3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5.75" customHeight="1" x14ac:dyDescent="0.3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5.75" customHeight="1" x14ac:dyDescent="0.3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5.75" customHeight="1" x14ac:dyDescent="0.3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5.75" customHeight="1" x14ac:dyDescent="0.3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5.75" customHeight="1" x14ac:dyDescent="0.3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5.75" customHeight="1" x14ac:dyDescent="0.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5.75" customHeight="1" x14ac:dyDescent="0.3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5.75" customHeight="1" x14ac:dyDescent="0.3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5.75" customHeight="1" x14ac:dyDescent="0.3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5.75" customHeight="1" x14ac:dyDescent="0.3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5.75" customHeight="1" x14ac:dyDescent="0.3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5.75" customHeight="1" x14ac:dyDescent="0.3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5.75" customHeight="1" x14ac:dyDescent="0.3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5.75" customHeight="1" x14ac:dyDescent="0.3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5.75" customHeight="1" x14ac:dyDescent="0.3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5.75" customHeight="1" x14ac:dyDescent="0.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5.75" customHeight="1" x14ac:dyDescent="0.3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5.75" customHeight="1" x14ac:dyDescent="0.3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5.75" customHeight="1" x14ac:dyDescent="0.3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5.75" customHeight="1" x14ac:dyDescent="0.3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5.75" customHeight="1" x14ac:dyDescent="0.3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5.75" customHeight="1" x14ac:dyDescent="0.3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5.75" customHeight="1" x14ac:dyDescent="0.3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5.75" customHeight="1" x14ac:dyDescent="0.3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5.75" customHeight="1" x14ac:dyDescent="0.3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5.75" customHeight="1" x14ac:dyDescent="0.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5.75" customHeight="1" x14ac:dyDescent="0.3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5.75" customHeight="1" x14ac:dyDescent="0.3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5.75" customHeight="1" x14ac:dyDescent="0.3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5.75" customHeight="1" x14ac:dyDescent="0.3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5.75" customHeight="1" x14ac:dyDescent="0.3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5.75" customHeight="1" x14ac:dyDescent="0.3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5.75" customHeight="1" x14ac:dyDescent="0.3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5.75" customHeight="1" x14ac:dyDescent="0.3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5.75" customHeight="1" x14ac:dyDescent="0.3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5.75" customHeight="1" x14ac:dyDescent="0.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5.75" customHeight="1" x14ac:dyDescent="0.3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5.75" customHeight="1" x14ac:dyDescent="0.3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5.75" customHeight="1" x14ac:dyDescent="0.3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5.75" customHeight="1" x14ac:dyDescent="0.3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5.75" customHeight="1" x14ac:dyDescent="0.3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5.75" customHeight="1" x14ac:dyDescent="0.3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5.75" customHeight="1" x14ac:dyDescent="0.3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5.75" customHeight="1" x14ac:dyDescent="0.3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5.75" customHeight="1" x14ac:dyDescent="0.3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5.75" customHeight="1" x14ac:dyDescent="0.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5.75" customHeight="1" x14ac:dyDescent="0.3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5.75" customHeight="1" x14ac:dyDescent="0.3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5.75" customHeight="1" x14ac:dyDescent="0.3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5.75" customHeight="1" x14ac:dyDescent="0.3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5.75" customHeight="1" x14ac:dyDescent="0.3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5.75" customHeight="1" x14ac:dyDescent="0.3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5.75" customHeight="1" x14ac:dyDescent="0.3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5.75" customHeight="1" x14ac:dyDescent="0.3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5.75" customHeight="1" x14ac:dyDescent="0.3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5.75" customHeight="1" x14ac:dyDescent="0.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5.75" customHeight="1" x14ac:dyDescent="0.3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5.75" customHeight="1" x14ac:dyDescent="0.3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5.75" customHeight="1" x14ac:dyDescent="0.3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5.75" customHeight="1" x14ac:dyDescent="0.3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5.75" customHeight="1" x14ac:dyDescent="0.3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5.75" customHeight="1" x14ac:dyDescent="0.3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5.75" customHeight="1" x14ac:dyDescent="0.3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5.75" customHeight="1" x14ac:dyDescent="0.3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5.75" customHeight="1" x14ac:dyDescent="0.3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5.75" customHeight="1" x14ac:dyDescent="0.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5.75" customHeight="1" x14ac:dyDescent="0.3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5.75" customHeight="1" x14ac:dyDescent="0.3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5.75" customHeight="1" x14ac:dyDescent="0.3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5.75" customHeight="1" x14ac:dyDescent="0.3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5.75" customHeight="1" x14ac:dyDescent="0.3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5.75" customHeight="1" x14ac:dyDescent="0.3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5.75" customHeight="1" x14ac:dyDescent="0.3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5.75" customHeight="1" x14ac:dyDescent="0.3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5.75" customHeight="1" x14ac:dyDescent="0.3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5.75" customHeight="1" x14ac:dyDescent="0.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5.75" customHeight="1" x14ac:dyDescent="0.3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5.75" customHeight="1" x14ac:dyDescent="0.3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5.75" customHeight="1" x14ac:dyDescent="0.3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5.75" customHeight="1" x14ac:dyDescent="0.3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5.75" customHeight="1" x14ac:dyDescent="0.3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5.75" customHeight="1" x14ac:dyDescent="0.3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5.75" customHeight="1" x14ac:dyDescent="0.3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5.75" customHeight="1" x14ac:dyDescent="0.3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5.75" customHeight="1" x14ac:dyDescent="0.3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5.75" customHeight="1" x14ac:dyDescent="0.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5.75" customHeight="1" x14ac:dyDescent="0.3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5.75" customHeight="1" x14ac:dyDescent="0.3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5.75" customHeight="1" x14ac:dyDescent="0.3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5.75" customHeight="1" x14ac:dyDescent="0.3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5.75" customHeight="1" x14ac:dyDescent="0.3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5.75" customHeight="1" x14ac:dyDescent="0.3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5.75" customHeight="1" x14ac:dyDescent="0.3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5.75" customHeight="1" x14ac:dyDescent="0.3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5.75" customHeight="1" x14ac:dyDescent="0.3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5.75" customHeight="1" x14ac:dyDescent="0.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5.75" customHeight="1" x14ac:dyDescent="0.3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5.75" customHeight="1" x14ac:dyDescent="0.3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5.75" customHeight="1" x14ac:dyDescent="0.3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5.75" customHeight="1" x14ac:dyDescent="0.3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5.75" customHeight="1" x14ac:dyDescent="0.3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5.75" customHeight="1" x14ac:dyDescent="0.3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5.75" customHeight="1" x14ac:dyDescent="0.3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5.75" customHeight="1" x14ac:dyDescent="0.3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5.75" customHeight="1" x14ac:dyDescent="0.3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5.75" customHeight="1" x14ac:dyDescent="0.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5.75" customHeight="1" x14ac:dyDescent="0.3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5.75" customHeight="1" x14ac:dyDescent="0.3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5.75" customHeight="1" x14ac:dyDescent="0.3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5.75" customHeight="1" x14ac:dyDescent="0.3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5.75" customHeight="1" x14ac:dyDescent="0.3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5.75" customHeight="1" x14ac:dyDescent="0.3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5.75" customHeight="1" x14ac:dyDescent="0.3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5.75" customHeight="1" x14ac:dyDescent="0.3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5.75" customHeight="1" x14ac:dyDescent="0.3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5.75" customHeight="1" x14ac:dyDescent="0.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5.75" customHeight="1" x14ac:dyDescent="0.3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5.75" customHeight="1" x14ac:dyDescent="0.3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5.75" customHeight="1" x14ac:dyDescent="0.3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5.75" customHeight="1" x14ac:dyDescent="0.3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5.75" customHeight="1" x14ac:dyDescent="0.3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5.75" customHeight="1" x14ac:dyDescent="0.3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5.75" customHeight="1" x14ac:dyDescent="0.3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5.75" customHeight="1" x14ac:dyDescent="0.3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5.75" customHeight="1" x14ac:dyDescent="0.3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5.75" customHeight="1" x14ac:dyDescent="0.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5.75" customHeight="1" x14ac:dyDescent="0.3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5.75" customHeight="1" x14ac:dyDescent="0.3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5.75" customHeight="1" x14ac:dyDescent="0.3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5.75" customHeight="1" x14ac:dyDescent="0.3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5.75" customHeight="1" x14ac:dyDescent="0.3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5.75" customHeight="1" x14ac:dyDescent="0.3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5.75" customHeight="1" x14ac:dyDescent="0.3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5.75" customHeight="1" x14ac:dyDescent="0.3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5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5.75" customHeight="1" x14ac:dyDescent="0.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5.75" customHeight="1" x14ac:dyDescent="0.3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5.75" customHeight="1" x14ac:dyDescent="0.3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5.75" customHeight="1" x14ac:dyDescent="0.3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5.75" customHeight="1" x14ac:dyDescent="0.3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5.75" customHeight="1" x14ac:dyDescent="0.3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5.75" customHeight="1" x14ac:dyDescent="0.3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5.75" customHeight="1" x14ac:dyDescent="0.3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5.75" customHeight="1" x14ac:dyDescent="0.3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5.75" customHeight="1" x14ac:dyDescent="0.3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5.75" customHeight="1" x14ac:dyDescent="0.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5.75" customHeight="1" x14ac:dyDescent="0.3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5.75" customHeight="1" x14ac:dyDescent="0.3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5.75" customHeight="1" x14ac:dyDescent="0.3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5.75" customHeight="1" x14ac:dyDescent="0.3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5.75" customHeight="1" x14ac:dyDescent="0.3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5.75" customHeight="1" x14ac:dyDescent="0.3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5.75" customHeight="1" x14ac:dyDescent="0.3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5.75" customHeight="1" x14ac:dyDescent="0.3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5.75" customHeight="1" x14ac:dyDescent="0.3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5.75" customHeight="1" x14ac:dyDescent="0.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5.75" customHeight="1" x14ac:dyDescent="0.3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5.75" customHeight="1" x14ac:dyDescent="0.3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5.75" customHeight="1" x14ac:dyDescent="0.3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5.75" customHeight="1" x14ac:dyDescent="0.3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5.75" customHeight="1" x14ac:dyDescent="0.3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</sheetData>
  <autoFilter ref="A7:Y134" xr:uid="{00000000-0009-0000-0000-00000C000000}"/>
  <mergeCells count="200">
    <mergeCell ref="A134:E134"/>
    <mergeCell ref="A135:H135"/>
    <mergeCell ref="A136:H136"/>
    <mergeCell ref="A137:H137"/>
    <mergeCell ref="A138:H138"/>
    <mergeCell ref="A140:H141"/>
    <mergeCell ref="A130:A131"/>
    <mergeCell ref="G130:G131"/>
    <mergeCell ref="H130:H131"/>
    <mergeCell ref="A132:A133"/>
    <mergeCell ref="G132:G133"/>
    <mergeCell ref="H132:H133"/>
    <mergeCell ref="A126:A127"/>
    <mergeCell ref="G126:G127"/>
    <mergeCell ref="H126:H127"/>
    <mergeCell ref="A128:A129"/>
    <mergeCell ref="G128:G129"/>
    <mergeCell ref="H128:H129"/>
    <mergeCell ref="A122:A123"/>
    <mergeCell ref="G122:G123"/>
    <mergeCell ref="H122:H123"/>
    <mergeCell ref="A124:A125"/>
    <mergeCell ref="G124:G125"/>
    <mergeCell ref="H124:H125"/>
    <mergeCell ref="A118:A119"/>
    <mergeCell ref="G118:G119"/>
    <mergeCell ref="H118:H119"/>
    <mergeCell ref="A120:A121"/>
    <mergeCell ref="G120:G121"/>
    <mergeCell ref="H120:H121"/>
    <mergeCell ref="A114:A115"/>
    <mergeCell ref="G114:G115"/>
    <mergeCell ref="H114:H115"/>
    <mergeCell ref="A116:A117"/>
    <mergeCell ref="G116:G117"/>
    <mergeCell ref="H116:H117"/>
    <mergeCell ref="A110:A111"/>
    <mergeCell ref="G110:G111"/>
    <mergeCell ref="H110:H111"/>
    <mergeCell ref="A112:A113"/>
    <mergeCell ref="G112:G113"/>
    <mergeCell ref="H112:H113"/>
    <mergeCell ref="A106:A107"/>
    <mergeCell ref="G106:G107"/>
    <mergeCell ref="H106:H107"/>
    <mergeCell ref="A108:A109"/>
    <mergeCell ref="G108:G109"/>
    <mergeCell ref="H108:H109"/>
    <mergeCell ref="A102:A103"/>
    <mergeCell ref="G102:G103"/>
    <mergeCell ref="H102:H103"/>
    <mergeCell ref="A104:A105"/>
    <mergeCell ref="G104:G105"/>
    <mergeCell ref="H104:H105"/>
    <mergeCell ref="A98:A99"/>
    <mergeCell ref="G98:G99"/>
    <mergeCell ref="H98:H99"/>
    <mergeCell ref="A100:A101"/>
    <mergeCell ref="G100:G101"/>
    <mergeCell ref="H100:H101"/>
    <mergeCell ref="A94:A95"/>
    <mergeCell ref="G94:G95"/>
    <mergeCell ref="H94:H95"/>
    <mergeCell ref="A96:A97"/>
    <mergeCell ref="G96:G97"/>
    <mergeCell ref="H96:H97"/>
    <mergeCell ref="A90:A91"/>
    <mergeCell ref="G90:G91"/>
    <mergeCell ref="H90:H91"/>
    <mergeCell ref="A92:A93"/>
    <mergeCell ref="G92:G93"/>
    <mergeCell ref="H92:H93"/>
    <mergeCell ref="A86:A87"/>
    <mergeCell ref="G86:G87"/>
    <mergeCell ref="H86:H87"/>
    <mergeCell ref="A88:A89"/>
    <mergeCell ref="G88:G89"/>
    <mergeCell ref="H88:H89"/>
    <mergeCell ref="A82:A83"/>
    <mergeCell ref="G82:G83"/>
    <mergeCell ref="H82:H83"/>
    <mergeCell ref="A84:A85"/>
    <mergeCell ref="G84:G85"/>
    <mergeCell ref="H84:H85"/>
    <mergeCell ref="A78:A79"/>
    <mergeCell ref="G78:G79"/>
    <mergeCell ref="H78:H79"/>
    <mergeCell ref="A80:A81"/>
    <mergeCell ref="G80:G81"/>
    <mergeCell ref="H80:H81"/>
    <mergeCell ref="A74:A75"/>
    <mergeCell ref="G74:G75"/>
    <mergeCell ref="H74:H75"/>
    <mergeCell ref="A76:A77"/>
    <mergeCell ref="G76:G77"/>
    <mergeCell ref="H76:H77"/>
    <mergeCell ref="A70:A71"/>
    <mergeCell ref="G70:G71"/>
    <mergeCell ref="H70:H71"/>
    <mergeCell ref="A72:A73"/>
    <mergeCell ref="G72:G73"/>
    <mergeCell ref="H72:H73"/>
    <mergeCell ref="A66:A67"/>
    <mergeCell ref="G66:G67"/>
    <mergeCell ref="H66:H67"/>
    <mergeCell ref="A68:A69"/>
    <mergeCell ref="G68:G69"/>
    <mergeCell ref="H68:H69"/>
    <mergeCell ref="A62:A63"/>
    <mergeCell ref="G62:G63"/>
    <mergeCell ref="H62:H63"/>
    <mergeCell ref="A64:A65"/>
    <mergeCell ref="G64:G65"/>
    <mergeCell ref="H64:H65"/>
    <mergeCell ref="A58:A59"/>
    <mergeCell ref="G58:G59"/>
    <mergeCell ref="H58:H59"/>
    <mergeCell ref="A60:A61"/>
    <mergeCell ref="G60:G61"/>
    <mergeCell ref="H60:H61"/>
    <mergeCell ref="A54:A55"/>
    <mergeCell ref="G54:G55"/>
    <mergeCell ref="H54:H55"/>
    <mergeCell ref="A56:A57"/>
    <mergeCell ref="G56:G57"/>
    <mergeCell ref="H56:H57"/>
    <mergeCell ref="A50:A51"/>
    <mergeCell ref="G50:G51"/>
    <mergeCell ref="H50:H51"/>
    <mergeCell ref="A52:A53"/>
    <mergeCell ref="G52:G53"/>
    <mergeCell ref="H52:H53"/>
    <mergeCell ref="A46:A47"/>
    <mergeCell ref="G46:G47"/>
    <mergeCell ref="H46:H47"/>
    <mergeCell ref="A48:A49"/>
    <mergeCell ref="G48:G49"/>
    <mergeCell ref="H48:H49"/>
    <mergeCell ref="A42:A43"/>
    <mergeCell ref="G42:G43"/>
    <mergeCell ref="H42:H43"/>
    <mergeCell ref="A44:A45"/>
    <mergeCell ref="G44:G45"/>
    <mergeCell ref="H44:H45"/>
    <mergeCell ref="A38:A39"/>
    <mergeCell ref="G38:G39"/>
    <mergeCell ref="H38:H39"/>
    <mergeCell ref="A40:A41"/>
    <mergeCell ref="G40:G41"/>
    <mergeCell ref="H40:H41"/>
    <mergeCell ref="A34:A35"/>
    <mergeCell ref="G34:G35"/>
    <mergeCell ref="H34:H35"/>
    <mergeCell ref="A36:A37"/>
    <mergeCell ref="G36:G37"/>
    <mergeCell ref="H36:H37"/>
    <mergeCell ref="A30:A31"/>
    <mergeCell ref="G30:G31"/>
    <mergeCell ref="H30:H31"/>
    <mergeCell ref="A32:A33"/>
    <mergeCell ref="G32:G33"/>
    <mergeCell ref="H32:H33"/>
    <mergeCell ref="A26:A27"/>
    <mergeCell ref="G26:G27"/>
    <mergeCell ref="H26:H27"/>
    <mergeCell ref="A28:A29"/>
    <mergeCell ref="G28:G29"/>
    <mergeCell ref="H28:H29"/>
    <mergeCell ref="A22:A23"/>
    <mergeCell ref="G22:G23"/>
    <mergeCell ref="H22:H23"/>
    <mergeCell ref="A24:A25"/>
    <mergeCell ref="G24:G25"/>
    <mergeCell ref="H24:H25"/>
    <mergeCell ref="A18:A19"/>
    <mergeCell ref="G18:G19"/>
    <mergeCell ref="H18:H19"/>
    <mergeCell ref="A20:A21"/>
    <mergeCell ref="G20:G21"/>
    <mergeCell ref="H20:H21"/>
    <mergeCell ref="A16:A17"/>
    <mergeCell ref="G16:G17"/>
    <mergeCell ref="H16:H17"/>
    <mergeCell ref="A10:A11"/>
    <mergeCell ref="G10:G11"/>
    <mergeCell ref="H10:H11"/>
    <mergeCell ref="A12:A13"/>
    <mergeCell ref="G12:G13"/>
    <mergeCell ref="H12:H13"/>
    <mergeCell ref="A1:H1"/>
    <mergeCell ref="A2:H2"/>
    <mergeCell ref="A3:H3"/>
    <mergeCell ref="A4:H4"/>
    <mergeCell ref="A5:H5"/>
    <mergeCell ref="A8:A9"/>
    <mergeCell ref="G8:G9"/>
    <mergeCell ref="H8:H9"/>
    <mergeCell ref="A14:A15"/>
    <mergeCell ref="G14:G15"/>
    <mergeCell ref="H14:H15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14.12.24 FN</vt:lpstr>
      <vt:lpstr>14.12.24 AN</vt:lpstr>
      <vt:lpstr>16.12.24 FN </vt:lpstr>
      <vt:lpstr>16.12.24 AN  </vt:lpstr>
      <vt:lpstr>18.12.24 FN</vt:lpstr>
      <vt:lpstr>18.12.24 AN</vt:lpstr>
      <vt:lpstr>23.12.2024 FN</vt:lpstr>
      <vt:lpstr>Template </vt:lpstr>
      <vt:lpstr>SLOT I</vt:lpstr>
      <vt:lpstr>SLOT II</vt:lpstr>
      <vt:lpstr>Template  (2)</vt:lpstr>
      <vt:lpstr>Template  (3)</vt:lpstr>
      <vt:lpstr>Template  (4)</vt:lpstr>
      <vt:lpstr>'SLOT I'!Print_Titles</vt:lpstr>
      <vt:lpstr>'SLOT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V</dc:creator>
  <cp:lastModifiedBy>Surya S</cp:lastModifiedBy>
  <cp:lastPrinted>2026-01-23T03:49:09Z</cp:lastPrinted>
  <dcterms:created xsi:type="dcterms:W3CDTF">2024-09-16T05:38:17Z</dcterms:created>
  <dcterms:modified xsi:type="dcterms:W3CDTF">2026-06-20T05:35:00Z</dcterms:modified>
</cp:coreProperties>
</file>